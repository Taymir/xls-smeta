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<sst xmlns="http://schemas.openxmlformats.org/spreadsheetml/2006/main" count="2130" uniqueCount="321">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</sst>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family val="2"/>
      <charset val="204"/>
    </font>
    <font>
      <sz val="10"/>
      <color indexed="18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0" fontId="15" fillId="0" borderId="0" xfId="0" applyFont="1" applyAlignment="1">
      <alignment horizontal="right"/>
    </xf>
    <xf numFmtId="164" fontId="13" fillId="0" borderId="0" xfId="0" applyNumberFormat="1" applyFont="1" applyAlignment="1">
      <alignment horizontal="right"/>
    </xf>
    <xf numFmtId="0" fontId="13" fillId="0" borderId="0" xfId="0" applyFont="1"/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3" fillId="0" borderId="0" xfId="0" applyFont="1" applyAlignment="1">
      <alignment horizontal="lef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16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2" borderId="3" xfId="0" applyFont="1" applyFill="1" applyBorder="1" applyAlignment="1">
      <alignment horizontal="right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20" fillId="2" borderId="3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76" t="s">
        <v>5</v>
      </c>
      <c r="C2" s="76"/>
      <c r="D2" s="76"/>
      <c r="E2" s="76"/>
      <c r="F2" s="76"/>
      <c r="G2" s="76"/>
      <c r="H2" s="76"/>
      <c r="I2" s="76"/>
      <c r="J2" s="76"/>
      <c r="K2" s="76"/>
      <c r="L2" s="12"/>
      <c r="AD2" s="17" t="s">
        <v>5</v>
      </c>
    </row>
    <row r="3" spans="1:30" ht="14.25" x14ac:dyDescent="0.2">
      <c r="A3" s="13"/>
      <c r="B3" s="77" t="s">
        <v>223</v>
      </c>
      <c r="C3" s="77"/>
      <c r="D3" s="77"/>
      <c r="E3" s="77"/>
      <c r="F3" s="77"/>
      <c r="G3" s="77"/>
      <c r="H3" s="77"/>
      <c r="I3" s="77"/>
      <c r="J3" s="77"/>
      <c r="K3" s="77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78" t="s">
        <v>224</v>
      </c>
      <c r="G5" s="78"/>
      <c r="H5" s="79" t="str">
        <f>IF(Source!F12&lt;&gt;"Новый объект", Source!F12, "")</f>
        <v/>
      </c>
      <c r="I5" s="79"/>
      <c r="J5" s="79"/>
      <c r="K5" s="79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76" t="str">
        <f>CONCATENATE( "ЛОКАЛЬНАЯ СМЕТА № ",IF(Source!F20&lt;&gt;"Новая локальная смета", Source!F20, ""))</f>
        <v>ЛОКАЛЬНАЯ СМЕТА № А-01/Ф</v>
      </c>
      <c r="C7" s="76"/>
      <c r="D7" s="76"/>
      <c r="E7" s="76"/>
      <c r="F7" s="76"/>
      <c r="G7" s="76"/>
      <c r="H7" s="76"/>
      <c r="I7" s="76"/>
      <c r="J7" s="76"/>
      <c r="K7" s="76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0" t="str">
        <f>IF(Source!G20&lt;&gt;"Новая локальная смета", Source!G20, "")</f>
        <v/>
      </c>
      <c r="C9" s="80"/>
      <c r="D9" s="80"/>
      <c r="E9" s="80"/>
      <c r="F9" s="80"/>
      <c r="G9" s="80"/>
      <c r="H9" s="80"/>
      <c r="I9" s="80"/>
      <c r="J9" s="80"/>
      <c r="K9" s="80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1" t="str">
        <f>IF(Source!G12&lt;&gt;"Новый объект", Source!G12, "")</f>
        <v>А-01 Блок А. Демонтаж штукатурки в подвале</v>
      </c>
      <c r="C11" s="81"/>
      <c r="D11" s="81"/>
      <c r="E11" s="81"/>
      <c r="F11" s="81"/>
      <c r="G11" s="81"/>
      <c r="H11" s="81"/>
      <c r="I11" s="81"/>
      <c r="J11" s="81"/>
      <c r="K11" s="81"/>
      <c r="L11" s="18"/>
    </row>
    <row r="12" spans="1:30" ht="14.25" x14ac:dyDescent="0.2">
      <c r="A12" s="14"/>
      <c r="B12" s="82" t="s">
        <v>225</v>
      </c>
      <c r="C12" s="82"/>
      <c r="D12" s="82"/>
      <c r="E12" s="82"/>
      <c r="F12" s="82"/>
      <c r="G12" s="82"/>
      <c r="H12" s="82"/>
      <c r="I12" s="82"/>
      <c r="J12" s="82"/>
      <c r="K12" s="82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9" t="str">
        <f>CONCATENATE("Основание: ", Source!J20)</f>
        <v xml:space="preserve">Основание: 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83" t="s">
        <v>226</v>
      </c>
      <c r="H17" s="83"/>
      <c r="I17" s="83" t="s">
        <v>227</v>
      </c>
      <c r="J17" s="83"/>
      <c r="K17" s="14"/>
      <c r="L17" s="14"/>
    </row>
    <row r="18" spans="1:22" ht="15" x14ac:dyDescent="0.25">
      <c r="A18" s="14"/>
      <c r="B18" s="14"/>
      <c r="C18" s="73" t="s">
        <v>228</v>
      </c>
      <c r="D18" s="73"/>
      <c r="E18" s="73"/>
      <c r="F18" s="73"/>
      <c r="G18" s="74">
        <f>SUM(O29:O90)/1000</f>
        <v>86.39085</v>
      </c>
      <c r="H18" s="74"/>
      <c r="I18" s="74">
        <f>(Source!P171/1000)</f>
        <v>1648.0434599999999</v>
      </c>
      <c r="J18" s="74"/>
      <c r="K18" s="75" t="s">
        <v>229</v>
      </c>
      <c r="L18" s="75"/>
    </row>
    <row r="19" spans="1:22" ht="14.25" x14ac:dyDescent="0.2">
      <c r="A19" s="14"/>
      <c r="B19" s="14"/>
      <c r="C19" s="84" t="s">
        <v>230</v>
      </c>
      <c r="D19" s="84"/>
      <c r="E19" s="84"/>
      <c r="F19" s="84"/>
      <c r="G19" s="74">
        <f>SUM(W29:W90)/1000</f>
        <v>49.508669999999995</v>
      </c>
      <c r="H19" s="74"/>
      <c r="I19" s="74">
        <f>(Source!P161)/1000</f>
        <v>1357.04306</v>
      </c>
      <c r="J19" s="74"/>
      <c r="K19" s="75" t="s">
        <v>229</v>
      </c>
      <c r="L19" s="75"/>
    </row>
    <row r="20" spans="1:22" ht="14.25" x14ac:dyDescent="0.2">
      <c r="A20" s="14"/>
      <c r="B20" s="14"/>
      <c r="C20" s="84" t="s">
        <v>231</v>
      </c>
      <c r="D20" s="84"/>
      <c r="E20" s="84"/>
      <c r="F20" s="84"/>
      <c r="G20" s="74">
        <f>SUM(X29:X90)/1000</f>
        <v>0</v>
      </c>
      <c r="H20" s="74"/>
      <c r="I20" s="74">
        <f>(Source!P162)/1000</f>
        <v>0</v>
      </c>
      <c r="J20" s="74"/>
      <c r="K20" s="75" t="s">
        <v>229</v>
      </c>
      <c r="L20" s="75"/>
    </row>
    <row r="21" spans="1:22" ht="14.25" x14ac:dyDescent="0.2">
      <c r="A21" s="14"/>
      <c r="B21" s="14"/>
      <c r="C21" s="84" t="s">
        <v>232</v>
      </c>
      <c r="D21" s="84"/>
      <c r="E21" s="84"/>
      <c r="F21" s="84"/>
      <c r="G21" s="74">
        <f>SUM(Y29:Y90)/1000</f>
        <v>0</v>
      </c>
      <c r="H21" s="74"/>
      <c r="I21" s="74">
        <f>(Source!P153)/1000</f>
        <v>0</v>
      </c>
      <c r="J21" s="74"/>
      <c r="K21" s="75" t="s">
        <v>229</v>
      </c>
      <c r="L21" s="75"/>
    </row>
    <row r="22" spans="1:22" ht="14.25" x14ac:dyDescent="0.2">
      <c r="A22" s="14"/>
      <c r="B22" s="14"/>
      <c r="C22" s="84" t="s">
        <v>233</v>
      </c>
      <c r="D22" s="84"/>
      <c r="E22" s="84"/>
      <c r="F22" s="84"/>
      <c r="G22" s="74">
        <f>SUM(Z29:Z90)/1000</f>
        <v>36.882179999999998</v>
      </c>
      <c r="H22" s="74"/>
      <c r="I22" s="74">
        <f>(Source!P163+Source!P164)/1000</f>
        <v>291.00040000000001</v>
      </c>
      <c r="J22" s="74"/>
      <c r="K22" s="75" t="s">
        <v>229</v>
      </c>
      <c r="L22" s="75"/>
    </row>
    <row r="23" spans="1:22" ht="15" x14ac:dyDescent="0.25">
      <c r="A23" s="14"/>
      <c r="B23" s="14"/>
      <c r="C23" s="73" t="s">
        <v>234</v>
      </c>
      <c r="D23" s="73"/>
      <c r="E23" s="73"/>
      <c r="F23" s="73"/>
      <c r="G23" s="74">
        <f>I23</f>
        <v>1944.61349696</v>
      </c>
      <c r="H23" s="74"/>
      <c r="I23" s="74">
        <f>(Source!P166+Source!P167)</f>
        <v>1944.61349696</v>
      </c>
      <c r="J23" s="74"/>
      <c r="K23" s="75" t="s">
        <v>235</v>
      </c>
      <c r="L23" s="75"/>
    </row>
    <row r="24" spans="1:22" ht="15" x14ac:dyDescent="0.25">
      <c r="A24" s="14"/>
      <c r="B24" s="14"/>
      <c r="C24" s="73" t="s">
        <v>236</v>
      </c>
      <c r="D24" s="73"/>
      <c r="E24" s="73"/>
      <c r="F24" s="73"/>
      <c r="G24" s="74">
        <f>SUM(R29:R90)/1000</f>
        <v>15.65644</v>
      </c>
      <c r="H24" s="74"/>
      <c r="I24" s="74">
        <f>((Source!P159 + Source!P158)/1000)</f>
        <v>473.45021000000003</v>
      </c>
      <c r="J24" s="74"/>
      <c r="K24" s="75" t="s">
        <v>229</v>
      </c>
      <c r="L24" s="75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5" t="s">
        <v>249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87" t="str">
        <f>CONCATENATE("Раздел: ",IF(Source!G24&lt;&gt;"Новый раздел", Source!G24, ""))</f>
        <v>Раздел: №1 Стены и перегородки.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86">
        <f>H33+H34+H35</f>
        <v>23805.68</v>
      </c>
      <c r="H37" s="86"/>
      <c r="J37" s="86">
        <f>K33+K34+K35</f>
        <v>719883.75</v>
      </c>
      <c r="K37" s="86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86">
        <f>H39+H40+H42+H43</f>
        <v>9008.130000000001</v>
      </c>
      <c r="H45" s="86"/>
      <c r="J45" s="86">
        <f>K39+K40+K42+K43</f>
        <v>268947.29000000004</v>
      </c>
      <c r="K45" s="86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89" t="str">
        <f>CONCATENATE("Итого по разделу: ",IF(Source!G35&lt;&gt;"Новый раздел", Source!G35, ""))</f>
        <v>Итого по разделу: №1 Стены и перегородки.</v>
      </c>
      <c r="B47" s="89"/>
      <c r="C47" s="89"/>
      <c r="D47" s="89"/>
      <c r="E47" s="89"/>
      <c r="F47" s="89"/>
      <c r="G47" s="88">
        <f>SUM(O30:O46)</f>
        <v>32813.81</v>
      </c>
      <c r="H47" s="88"/>
      <c r="I47" s="29"/>
      <c r="J47" s="88">
        <f>SUM(P30:P46)</f>
        <v>988831.04</v>
      </c>
      <c r="K47" s="88"/>
      <c r="L47" s="43">
        <f>SUM(Q30:Q46)</f>
        <v>1457.9108271</v>
      </c>
    </row>
    <row r="51" spans="1:26" ht="16.5" x14ac:dyDescent="0.25">
      <c r="A51" s="87" t="str">
        <f>CONCATENATE("Раздел: ",IF(Source!G64&lt;&gt;"Новый раздел", Source!G64, ""))</f>
        <v>Раздел: №2 Потолки.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86">
        <f>H54+H55+H56</f>
        <v>4397.51</v>
      </c>
      <c r="H58" s="86"/>
      <c r="J58" s="86">
        <f>K54+K55+K56</f>
        <v>132980.82999999999</v>
      </c>
      <c r="K58" s="86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86">
        <f>H60+H61+H63+H64</f>
        <v>1664.04</v>
      </c>
      <c r="H66" s="86"/>
      <c r="J66" s="86">
        <f>K60+K61+K63+K64</f>
        <v>49681.41</v>
      </c>
      <c r="K66" s="86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89" t="str">
        <f>CONCATENATE("Итого по разделу: ",IF(Source!G75&lt;&gt;"Новый раздел", Source!G75, ""))</f>
        <v>Итого по разделу: №2 Потолки.</v>
      </c>
      <c r="B68" s="89"/>
      <c r="C68" s="89"/>
      <c r="D68" s="89"/>
      <c r="E68" s="89"/>
      <c r="F68" s="89"/>
      <c r="G68" s="88">
        <f>SUM(O51:O67)</f>
        <v>6061.55</v>
      </c>
      <c r="H68" s="88"/>
      <c r="I68" s="29"/>
      <c r="J68" s="88">
        <f>SUM(P51:P67)</f>
        <v>182662.24</v>
      </c>
      <c r="K68" s="88"/>
      <c r="L68" s="43">
        <f>SUM(Q51:Q67)</f>
        <v>269.31319506</v>
      </c>
    </row>
    <row r="72" spans="1:26" ht="16.5" x14ac:dyDescent="0.25">
      <c r="A72" s="87" t="str">
        <f>CONCATENATE("Раздел: ",IF(Source!G104&lt;&gt;"Новый раздел", Source!G104, ""))</f>
        <v>Раздел: №3  Прочие работы.</v>
      </c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86">
        <f>H74+H75+H76+H77</f>
        <v>6908.6799999999994</v>
      </c>
      <c r="H79" s="86"/>
      <c r="J79" s="86">
        <f>K74+K75+K76+K77</f>
        <v>125136.36</v>
      </c>
      <c r="K79" s="86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86">
        <f>H80</f>
        <v>3724.63</v>
      </c>
      <c r="H81" s="86"/>
      <c r="J81" s="86">
        <f>K80</f>
        <v>60413.42</v>
      </c>
      <c r="K81" s="86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86">
        <f>H82</f>
        <v>36882.18</v>
      </c>
      <c r="H83" s="86"/>
      <c r="J83" s="86">
        <f>K82</f>
        <v>291000.40000000002</v>
      </c>
      <c r="K83" s="86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89" t="str">
        <f>CONCATENATE("Итого по разделу: ",IF(Source!G115&lt;&gt;"Новый раздел", Source!G115, ""))</f>
        <v>Итого по разделу: №3  Прочие работы.</v>
      </c>
      <c r="B85" s="89"/>
      <c r="C85" s="89"/>
      <c r="D85" s="89"/>
      <c r="E85" s="89"/>
      <c r="F85" s="89"/>
      <c r="G85" s="88">
        <f>SUM(O72:O84)</f>
        <v>47515.49</v>
      </c>
      <c r="H85" s="88"/>
      <c r="I85" s="29"/>
      <c r="J85" s="88">
        <f>SUM(P72:P84)</f>
        <v>476550.18000000005</v>
      </c>
      <c r="K85" s="88"/>
      <c r="L85" s="43">
        <f>SUM(Q72:Q84)</f>
        <v>213.72499999999999</v>
      </c>
    </row>
    <row r="89" spans="1:26" ht="15" x14ac:dyDescent="0.25">
      <c r="A89" s="89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89"/>
      <c r="C89" s="89"/>
      <c r="D89" s="89"/>
      <c r="E89" s="89"/>
      <c r="F89" s="89"/>
      <c r="G89" s="88">
        <f>SUM(O29:O88)</f>
        <v>86390.85</v>
      </c>
      <c r="H89" s="88"/>
      <c r="I89" s="29"/>
      <c r="J89" s="88">
        <f>SUM(P29:P88)</f>
        <v>1648043.46</v>
      </c>
      <c r="K89" s="88"/>
      <c r="L89" s="43">
        <f>SUM(Q29:Q88)</f>
        <v>1940.9490221599999</v>
      </c>
    </row>
    <row r="92" spans="1:26" ht="14.25" x14ac:dyDescent="0.2">
      <c r="C92" s="79" t="str">
        <f>Source!H172</f>
        <v>Итого</v>
      </c>
      <c r="D92" s="79"/>
      <c r="E92" s="79"/>
      <c r="F92" s="79"/>
      <c r="G92" s="79"/>
      <c r="H92" s="79"/>
      <c r="I92" s="79"/>
      <c r="J92" s="74">
        <f>IF(Source!P172=0, "", Source!P172)</f>
        <v>1648043.46</v>
      </c>
      <c r="K92" s="74"/>
    </row>
    <row r="93" spans="1:26" ht="14.25" x14ac:dyDescent="0.2">
      <c r="C93" s="79" t="str">
        <f>Source!H175</f>
        <v>Зимнее удорожание 1,41%</v>
      </c>
      <c r="D93" s="79"/>
      <c r="E93" s="79"/>
      <c r="F93" s="79"/>
      <c r="G93" s="79"/>
      <c r="H93" s="79"/>
      <c r="I93" s="79"/>
      <c r="J93" s="74">
        <f>IF(Source!P175=0, "", Source!P175)</f>
        <v>19134.310000000001</v>
      </c>
      <c r="K93" s="74"/>
    </row>
    <row r="94" spans="1:26" ht="31.5" customHeight="1" x14ac:dyDescent="0.25">
      <c r="C94" s="89" t="str">
        <f>Source!H176</f>
        <v>Итого с ЗУ</v>
      </c>
      <c r="D94" s="89"/>
      <c r="E94" s="89"/>
      <c r="F94" s="89"/>
      <c r="G94" s="89"/>
      <c r="H94" s="89"/>
      <c r="I94" s="89"/>
      <c r="J94" s="88">
        <f>IF(Source!P176=0, "", Source!P176)</f>
        <v>1667177.77</v>
      </c>
      <c r="K94" s="88"/>
    </row>
    <row r="95" spans="1:26" ht="15" x14ac:dyDescent="0.25">
      <c r="C95" s="89" t="str">
        <f>Source!H177</f>
        <v>НДС 20%</v>
      </c>
      <c r="D95" s="89"/>
      <c r="E95" s="89"/>
      <c r="F95" s="89"/>
      <c r="G95" s="89"/>
      <c r="H95" s="89"/>
      <c r="I95" s="89"/>
      <c r="J95" s="88">
        <f>IF(Source!P177=0, "", Source!P177)</f>
        <v>333435.55</v>
      </c>
      <c r="K95" s="88"/>
    </row>
    <row r="96" spans="1:26" ht="15" x14ac:dyDescent="0.25">
      <c r="C96" s="89" t="str">
        <f>Source!H178</f>
        <v>ВСЕГО С НДС</v>
      </c>
      <c r="D96" s="89"/>
      <c r="E96" s="89"/>
      <c r="F96" s="89"/>
      <c r="G96" s="89"/>
      <c r="H96" s="89"/>
      <c r="I96" s="89"/>
      <c r="J96" s="88">
        <f>IF(Source!P178=0, "", Source!P178)</f>
        <v>2000613.32</v>
      </c>
      <c r="K96" s="88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90" t="s">
        <v>262</v>
      </c>
      <c r="E100" s="90"/>
      <c r="F100" s="90"/>
      <c r="G100" s="90"/>
      <c r="H100" s="90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90" t="s">
        <v>262</v>
      </c>
      <c r="E103" s="90"/>
      <c r="F103" s="90"/>
      <c r="G103" s="90"/>
      <c r="H103" s="90"/>
      <c r="I103" s="14"/>
      <c r="J103" s="14"/>
      <c r="K103" s="14"/>
      <c r="L103" s="14"/>
    </row>
  </sheetData>
  <dataConsolidate/>
  <mergeCells count="81">
    <mergeCell ref="J37:K37"/>
    <mergeCell ref="G37:H37"/>
    <mergeCell ref="A30:L30"/>
    <mergeCell ref="J58:K58"/>
    <mergeCell ref="G58:H58"/>
    <mergeCell ref="J83:K83"/>
    <mergeCell ref="G83:H83"/>
    <mergeCell ref="J45:K45"/>
    <mergeCell ref="G45:H45"/>
    <mergeCell ref="A68:F68"/>
    <mergeCell ref="J66:K66"/>
    <mergeCell ref="G66:H66"/>
    <mergeCell ref="D100:H100"/>
    <mergeCell ref="D103:H103"/>
    <mergeCell ref="C95:I95"/>
    <mergeCell ref="J95:K95"/>
    <mergeCell ref="C96:I96"/>
    <mergeCell ref="J96:K96"/>
    <mergeCell ref="A85:F85"/>
    <mergeCell ref="C94:I94"/>
    <mergeCell ref="J94:K94"/>
    <mergeCell ref="C93:I93"/>
    <mergeCell ref="J93:K93"/>
    <mergeCell ref="G89:H89"/>
    <mergeCell ref="J89:K89"/>
    <mergeCell ref="A89:F89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C23:F23"/>
    <mergeCell ref="G23:H23"/>
    <mergeCell ref="I23:J23"/>
    <mergeCell ref="K23:L23"/>
    <mergeCell ref="C24:F24"/>
    <mergeCell ref="G24:H24"/>
    <mergeCell ref="I24:J24"/>
    <mergeCell ref="K24:L24"/>
    <mergeCell ref="C21:F21"/>
    <mergeCell ref="G21:H21"/>
    <mergeCell ref="I21:J21"/>
    <mergeCell ref="K21:L21"/>
    <mergeCell ref="C22:F22"/>
    <mergeCell ref="G22:H22"/>
    <mergeCell ref="I22:J22"/>
    <mergeCell ref="K22:L22"/>
    <mergeCell ref="C19:F19"/>
    <mergeCell ref="G19:H19"/>
    <mergeCell ref="I19:J19"/>
    <mergeCell ref="K19:L19"/>
    <mergeCell ref="C20:F20"/>
    <mergeCell ref="G20:H20"/>
    <mergeCell ref="I20:J20"/>
    <mergeCell ref="K20:L20"/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dataConsolidate/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>
      <selection activeCell="D18" sqref="D18"/>
    </sheetView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7" t="s">
        <v>304</v>
      </c>
      <c r="B2" s="98"/>
      <c r="C2" s="98"/>
      <c r="D2" s="99"/>
      <c r="E2" s="99"/>
      <c r="F2" s="99"/>
      <c r="G2" s="99"/>
      <c r="H2" s="99"/>
    </row>
    <row r="3" spans="1:18" ht="16.5" x14ac:dyDescent="0.2">
      <c r="A3" s="97" t="str">
        <f>CONCATENATE("Объект: ",IF(Source!G180&lt;&gt;"Новый объект", Source!G180, ""))</f>
        <v>Объект: А-01 Блок А. Демонтаж штукатурки в подвале</v>
      </c>
      <c r="B3" s="98"/>
      <c r="C3" s="98"/>
      <c r="D3" s="99"/>
      <c r="E3" s="99"/>
      <c r="F3" s="99"/>
      <c r="G3" s="99"/>
      <c r="H3" s="99"/>
    </row>
    <row r="4" spans="1:18" x14ac:dyDescent="0.2">
      <c r="A4" s="100" t="s">
        <v>305</v>
      </c>
      <c r="B4" s="100" t="s">
        <v>306</v>
      </c>
      <c r="C4" s="100" t="s">
        <v>267</v>
      </c>
      <c r="D4" s="103" t="s">
        <v>307</v>
      </c>
      <c r="E4" s="106" t="s">
        <v>308</v>
      </c>
      <c r="F4" s="107"/>
      <c r="G4" s="106" t="s">
        <v>311</v>
      </c>
      <c r="H4" s="107"/>
    </row>
    <row r="5" spans="1:18" x14ac:dyDescent="0.2">
      <c r="A5" s="101"/>
      <c r="B5" s="101"/>
      <c r="C5" s="101"/>
      <c r="D5" s="104"/>
      <c r="E5" s="108"/>
      <c r="F5" s="109"/>
      <c r="G5" s="108"/>
      <c r="H5" s="109"/>
    </row>
    <row r="6" spans="1:18" ht="14.25" x14ac:dyDescent="0.2">
      <c r="A6" s="102"/>
      <c r="B6" s="102"/>
      <c r="C6" s="102"/>
      <c r="D6" s="105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110" t="s">
        <v>312</v>
      </c>
      <c r="B8" s="111"/>
      <c r="C8" s="111"/>
      <c r="D8" s="112"/>
      <c r="E8" s="112"/>
      <c r="F8" s="112"/>
      <c r="G8" s="112"/>
      <c r="H8" s="112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5"/>
      <c r="E12" s="96">
        <f>SUMIF(Q9:Q11, 1, F9:F11)</f>
        <v>15611.76</v>
      </c>
      <c r="F12" s="96"/>
      <c r="G12" s="96">
        <f>SUMIF(Q9:Q11, 1, H9:H11)</f>
        <v>15611.76</v>
      </c>
      <c r="H12" s="95"/>
    </row>
    <row r="13" spans="1:18" ht="14.25" x14ac:dyDescent="0.2">
      <c r="A13" s="110" t="s">
        <v>314</v>
      </c>
      <c r="B13" s="111"/>
      <c r="C13" s="111"/>
      <c r="D13" s="112"/>
      <c r="E13" s="112"/>
      <c r="F13" s="112"/>
      <c r="G13" s="112"/>
      <c r="H13" s="112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5"/>
      <c r="E20" s="96">
        <f>SUMIF(Q14:Q19, 2, F14:F19)</f>
        <v>196.49</v>
      </c>
      <c r="F20" s="96"/>
      <c r="G20" s="96">
        <f>SUMIF(Q14:Q19, 2, H14:H19)</f>
        <v>1842.19</v>
      </c>
      <c r="H20" s="95"/>
    </row>
    <row r="21" spans="1:18" ht="15" x14ac:dyDescent="0.25">
      <c r="A21" s="94" t="s">
        <v>317</v>
      </c>
      <c r="B21" s="94"/>
      <c r="C21" s="94"/>
      <c r="D21" s="95"/>
      <c r="E21" s="96">
        <f>SUMIF(R14:R20, 1, F14:F20)</f>
        <v>44.67</v>
      </c>
      <c r="F21" s="96"/>
      <c r="G21" s="96">
        <f>SUMIF(R14:R20, 1, H14:H20)</f>
        <v>1350.88</v>
      </c>
      <c r="H21" s="95"/>
    </row>
    <row r="22" spans="1:18" ht="14.25" x14ac:dyDescent="0.2">
      <c r="A22" s="110" t="s">
        <v>318</v>
      </c>
      <c r="B22" s="111"/>
      <c r="C22" s="111"/>
      <c r="D22" s="112"/>
      <c r="E22" s="112"/>
      <c r="F22" s="112"/>
      <c r="G22" s="112"/>
      <c r="H22" s="112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5"/>
      <c r="E25" s="96">
        <f>SUMIF(Q23:Q24, 3, F23:F24)</f>
        <v>40285.18</v>
      </c>
      <c r="F25" s="96"/>
      <c r="G25" s="96">
        <f>SUMIF(Q23:Q24, 3, H23:H24)</f>
        <v>310125.26</v>
      </c>
      <c r="H25" s="95"/>
    </row>
  </sheetData>
  <sortState ref="A23:R24">
    <sortCondition ref="A23"/>
  </sortState>
  <dataConsolidate/>
  <mergeCells count="23">
    <mergeCell ref="A21:D21"/>
    <mergeCell ref="E21:F21"/>
    <mergeCell ref="G21:H21"/>
    <mergeCell ref="A22:H22"/>
    <mergeCell ref="A25:D25"/>
    <mergeCell ref="E25:F25"/>
    <mergeCell ref="G25:H25"/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zoomScale="70" zoomScaleNormal="70" workbookViewId="0">
      <selection activeCell="G67" sqref="G67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69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s="66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69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s="66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69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s="66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69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s="66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69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s="66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69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s="66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2021-01-14T21:47:26Z</dcterms:modified>
</cp:coreProperties>
</file>