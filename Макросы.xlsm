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U7\Documents\IT projects\IT projects\xls\"/>
    </mc:Choice>
  </mc:AlternateContent>
  <bookViews>
    <workbookView xWindow="0" yWindow="0" windowWidth="13980" windowHeight="14070" firstSheet="3" activeTab="4"/>
  </bookViews>
  <sheets>
    <sheet name="Смета 12 гр. по ФЕР" sheetId="5" r:id="rId1"/>
    <sheet name="Ведомость объемов работ" sheetId="6" r:id="rId2"/>
    <sheet name="RV_DATA" sheetId="8" state="hidden" r:id="rId3"/>
    <sheet name="Расчет стоимости ресурсов" sheetId="7" r:id="rId4"/>
    <sheet name="Source" sheetId="1" r:id="rId5"/>
    <sheet name="SourceObSm" sheetId="2" state="hidden" r:id="rId6"/>
    <sheet name="SmtRes" sheetId="3" state="hidden" r:id="rId7"/>
    <sheet name="EtalonRes" sheetId="4" state="hidden" r:id="rId8"/>
  </sheets>
  <functionGroups builtInGroupCount="18"/>
  <definedNames>
    <definedName name="_xlnm.Print_Titles" localSheetId="1">'Ведомость объемов работ'!$10:$10</definedName>
    <definedName name="_xlnm.Print_Titles" localSheetId="3">'Расчет стоимости ресурсов'!$4:$7</definedName>
    <definedName name="_xlnm.Print_Titles" localSheetId="0">'Смета 12 гр. по ФЕР'!$28:$28</definedName>
    <definedName name="_xlnm.Print_Area" localSheetId="1">'Ведомость объемов работ'!$A$1:$E$26</definedName>
    <definedName name="_xlnm.Print_Area" localSheetId="3">'Расчет стоимости ресурсов'!$A$1:$H$26</definedName>
    <definedName name="_xlnm.Print_Area" localSheetId="0">'Смета 12 гр. по ФЕР'!$A$1:$L$104</definedName>
  </definedNames>
  <calcPr calcId="162913"/>
</workbook>
</file>

<file path=xl/calcChain.xml><?xml version="1.0" encoding="utf-8"?>
<calcChain xmlns="http://schemas.openxmlformats.org/spreadsheetml/2006/main">
  <c r="G17" i="7" l="1"/>
  <c r="G16" i="7"/>
  <c r="E19" i="7"/>
  <c r="G11" i="7"/>
  <c r="U20" i="8"/>
  <c r="I20" i="8"/>
  <c r="D24" i="7" s="1"/>
  <c r="H20" i="8"/>
  <c r="G20" i="8"/>
  <c r="F20" i="8"/>
  <c r="E20" i="8"/>
  <c r="D20" i="8"/>
  <c r="A20" i="8"/>
  <c r="U19" i="8"/>
  <c r="S19" i="8"/>
  <c r="P19" i="8"/>
  <c r="N19" i="8"/>
  <c r="G9" i="7" s="1"/>
  <c r="K19" i="8"/>
  <c r="E9" i="7" s="1"/>
  <c r="J19" i="8"/>
  <c r="I19" i="8"/>
  <c r="D9" i="7" s="1"/>
  <c r="H19" i="8"/>
  <c r="G19" i="8"/>
  <c r="F19" i="8"/>
  <c r="E19" i="8"/>
  <c r="A19" i="8"/>
  <c r="U18" i="8"/>
  <c r="S18" i="8"/>
  <c r="P18" i="8"/>
  <c r="N18" i="8"/>
  <c r="G23" i="7" s="1"/>
  <c r="K18" i="8"/>
  <c r="E23" i="7" s="1"/>
  <c r="J18" i="8"/>
  <c r="I18" i="8"/>
  <c r="D23" i="7" s="1"/>
  <c r="H18" i="8"/>
  <c r="G18" i="8"/>
  <c r="F18" i="8"/>
  <c r="E18" i="8"/>
  <c r="A18" i="8"/>
  <c r="G17" i="8"/>
  <c r="A17" i="8"/>
  <c r="U16" i="8"/>
  <c r="S16" i="8"/>
  <c r="P16" i="8"/>
  <c r="N16" i="8"/>
  <c r="K16" i="8"/>
  <c r="J16" i="8"/>
  <c r="H16" i="8"/>
  <c r="G16" i="8"/>
  <c r="F16" i="8"/>
  <c r="E16" i="8"/>
  <c r="A16" i="8"/>
  <c r="U15" i="8"/>
  <c r="S15" i="8"/>
  <c r="P15" i="8"/>
  <c r="E17" i="7" s="1"/>
  <c r="N15" i="8"/>
  <c r="K15" i="8"/>
  <c r="E16" i="7" s="1"/>
  <c r="J15" i="8"/>
  <c r="H15" i="8"/>
  <c r="G15" i="8"/>
  <c r="F15" i="8"/>
  <c r="E15" i="8"/>
  <c r="A15" i="8"/>
  <c r="U14" i="8"/>
  <c r="S14" i="8"/>
  <c r="P14" i="8"/>
  <c r="N14" i="8"/>
  <c r="K14" i="8"/>
  <c r="J14" i="8"/>
  <c r="H14" i="8"/>
  <c r="G14" i="8"/>
  <c r="F14" i="8"/>
  <c r="E14" i="8"/>
  <c r="A14" i="8"/>
  <c r="U13" i="8"/>
  <c r="S13" i="8"/>
  <c r="P13" i="8"/>
  <c r="N13" i="8"/>
  <c r="K13" i="8"/>
  <c r="J13" i="8"/>
  <c r="H13" i="8"/>
  <c r="G13" i="8"/>
  <c r="F13" i="8"/>
  <c r="E13" i="8"/>
  <c r="A13" i="8"/>
  <c r="G12" i="8"/>
  <c r="A12" i="8"/>
  <c r="U11" i="8"/>
  <c r="S11" i="8"/>
  <c r="P11" i="8"/>
  <c r="N11" i="8"/>
  <c r="K11" i="8"/>
  <c r="E11" i="7" s="1"/>
  <c r="J11" i="8"/>
  <c r="H11" i="8"/>
  <c r="G11" i="8"/>
  <c r="F11" i="8"/>
  <c r="E11" i="8"/>
  <c r="A11" i="8"/>
  <c r="U10" i="8"/>
  <c r="S10" i="8"/>
  <c r="G15" i="7" s="1"/>
  <c r="P10" i="8"/>
  <c r="E15" i="7" s="1"/>
  <c r="N10" i="8"/>
  <c r="G14" i="7" s="1"/>
  <c r="K10" i="8"/>
  <c r="E14" i="7" s="1"/>
  <c r="J10" i="8"/>
  <c r="H10" i="8"/>
  <c r="G10" i="8"/>
  <c r="F10" i="8"/>
  <c r="E10" i="8"/>
  <c r="A10" i="8"/>
  <c r="U9" i="8"/>
  <c r="S9" i="8"/>
  <c r="G19" i="7" s="1"/>
  <c r="P9" i="8"/>
  <c r="N9" i="8"/>
  <c r="G18" i="7" s="1"/>
  <c r="K9" i="8"/>
  <c r="E18" i="7" s="1"/>
  <c r="J9" i="8"/>
  <c r="H9" i="8"/>
  <c r="G9" i="8"/>
  <c r="F9" i="8"/>
  <c r="E9" i="8"/>
  <c r="A9" i="8"/>
  <c r="U8" i="8"/>
  <c r="S8" i="8"/>
  <c r="P8" i="8"/>
  <c r="N8" i="8"/>
  <c r="G10" i="7" s="1"/>
  <c r="K8" i="8"/>
  <c r="E10" i="7" s="1"/>
  <c r="J8" i="8"/>
  <c r="H8" i="8"/>
  <c r="G8" i="8"/>
  <c r="F8" i="8"/>
  <c r="E8" i="8"/>
  <c r="A8" i="8"/>
  <c r="G7" i="8"/>
  <c r="A7" i="8"/>
  <c r="G6" i="8"/>
  <c r="A6" i="8"/>
  <c r="D21" i="6"/>
  <c r="C21" i="6"/>
  <c r="B21" i="6"/>
  <c r="A21" i="6"/>
  <c r="D20" i="6"/>
  <c r="C20" i="6"/>
  <c r="B20" i="6"/>
  <c r="A20" i="6"/>
  <c r="D19" i="6"/>
  <c r="C19" i="6"/>
  <c r="B19" i="6"/>
  <c r="A19" i="6"/>
  <c r="A18" i="6"/>
  <c r="C17" i="6"/>
  <c r="B17" i="6"/>
  <c r="A17" i="6"/>
  <c r="C16" i="6"/>
  <c r="B16" i="6"/>
  <c r="A16" i="6"/>
  <c r="A15" i="6"/>
  <c r="C14" i="6"/>
  <c r="B14" i="6"/>
  <c r="A14" i="6"/>
  <c r="C13" i="6"/>
  <c r="B13" i="6"/>
  <c r="A13" i="6"/>
  <c r="A12" i="6"/>
  <c r="A11" i="6"/>
  <c r="A4" i="6"/>
  <c r="A3" i="6"/>
  <c r="A1" i="6"/>
  <c r="D102" i="5"/>
  <c r="D99" i="5"/>
  <c r="C96" i="5"/>
  <c r="C95" i="5"/>
  <c r="C94" i="5"/>
  <c r="C93" i="5"/>
  <c r="C92" i="5"/>
  <c r="Y83" i="5"/>
  <c r="X83" i="5"/>
  <c r="W83" i="5"/>
  <c r="J82" i="5"/>
  <c r="G82" i="5"/>
  <c r="F82" i="5"/>
  <c r="E82" i="5"/>
  <c r="D82" i="5"/>
  <c r="I82" i="5"/>
  <c r="B82" i="5"/>
  <c r="A82" i="5"/>
  <c r="Z81" i="5"/>
  <c r="Y81" i="5"/>
  <c r="X81" i="5"/>
  <c r="J80" i="5"/>
  <c r="G80" i="5"/>
  <c r="F80" i="5"/>
  <c r="U80" i="5"/>
  <c r="S80" i="5"/>
  <c r="E80" i="5"/>
  <c r="D80" i="5"/>
  <c r="I80" i="5"/>
  <c r="C80" i="5"/>
  <c r="B80" i="5"/>
  <c r="A80" i="5"/>
  <c r="Z79" i="5"/>
  <c r="Y79" i="5"/>
  <c r="X79" i="5"/>
  <c r="G78" i="5"/>
  <c r="E78" i="5"/>
  <c r="J77" i="5"/>
  <c r="E77" i="5"/>
  <c r="J76" i="5"/>
  <c r="E76" i="5"/>
  <c r="J75" i="5"/>
  <c r="G75" i="5"/>
  <c r="F75" i="5"/>
  <c r="J74" i="5"/>
  <c r="G74" i="5"/>
  <c r="F74" i="5"/>
  <c r="F73" i="5"/>
  <c r="E73" i="5"/>
  <c r="D73" i="5"/>
  <c r="I73" i="5"/>
  <c r="C73" i="5"/>
  <c r="B73" i="5"/>
  <c r="A73" i="5"/>
  <c r="A72" i="5"/>
  <c r="Z66" i="5"/>
  <c r="Y66" i="5"/>
  <c r="X66" i="5"/>
  <c r="G65" i="5"/>
  <c r="E65" i="5"/>
  <c r="J64" i="5"/>
  <c r="E64" i="5"/>
  <c r="J63" i="5"/>
  <c r="E63" i="5"/>
  <c r="J62" i="5"/>
  <c r="G62" i="5"/>
  <c r="F62" i="5"/>
  <c r="J61" i="5"/>
  <c r="G61" i="5"/>
  <c r="F61" i="5"/>
  <c r="J60" i="5"/>
  <c r="G60" i="5"/>
  <c r="F60" i="5"/>
  <c r="F59" i="5"/>
  <c r="D59" i="5"/>
  <c r="I59" i="5"/>
  <c r="C59" i="5"/>
  <c r="A59" i="5"/>
  <c r="Z58" i="5"/>
  <c r="Y58" i="5"/>
  <c r="X58" i="5"/>
  <c r="G57" i="5"/>
  <c r="E57" i="5"/>
  <c r="J56" i="5"/>
  <c r="E56" i="5"/>
  <c r="J55" i="5"/>
  <c r="E55" i="5"/>
  <c r="J54" i="5"/>
  <c r="G54" i="5"/>
  <c r="F54" i="5"/>
  <c r="F52" i="5"/>
  <c r="D52" i="5"/>
  <c r="I52" i="5"/>
  <c r="C52" i="5"/>
  <c r="B52" i="5"/>
  <c r="A52" i="5"/>
  <c r="A51" i="5"/>
  <c r="Z45" i="5"/>
  <c r="Y45" i="5"/>
  <c r="X45" i="5"/>
  <c r="G44" i="5"/>
  <c r="E44" i="5"/>
  <c r="J43" i="5"/>
  <c r="E43" i="5"/>
  <c r="J42" i="5"/>
  <c r="E42" i="5"/>
  <c r="J41" i="5"/>
  <c r="G41" i="5"/>
  <c r="F41" i="5"/>
  <c r="J40" i="5"/>
  <c r="G40" i="5"/>
  <c r="F40" i="5"/>
  <c r="J39" i="5"/>
  <c r="G39" i="5"/>
  <c r="F39" i="5"/>
  <c r="F38" i="5"/>
  <c r="D38" i="5"/>
  <c r="I38" i="5"/>
  <c r="C38" i="5"/>
  <c r="A38" i="5"/>
  <c r="Z37" i="5"/>
  <c r="Y37" i="5"/>
  <c r="X37" i="5"/>
  <c r="G36" i="5"/>
  <c r="E36" i="5"/>
  <c r="J35" i="5"/>
  <c r="E35" i="5"/>
  <c r="J34" i="5"/>
  <c r="E34" i="5"/>
  <c r="J33" i="5"/>
  <c r="G33" i="5"/>
  <c r="F33" i="5"/>
  <c r="F31" i="5"/>
  <c r="D31" i="5"/>
  <c r="I31" i="5"/>
  <c r="C31" i="5"/>
  <c r="B31" i="5"/>
  <c r="A31" i="5"/>
  <c r="A30" i="5"/>
  <c r="A14" i="5"/>
  <c r="B11" i="5"/>
  <c r="B9" i="5"/>
  <c r="B7" i="5"/>
  <c r="H5" i="5"/>
  <c r="A1" i="5"/>
  <c r="G21" i="5" l="1"/>
  <c r="G20" i="5"/>
  <c r="A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1" i="3"/>
  <c r="CY1" i="3"/>
  <c r="CZ1" i="3"/>
  <c r="DB1" i="3" s="1"/>
  <c r="DA1" i="3"/>
  <c r="DC1" i="3"/>
  <c r="A2" i="3"/>
  <c r="CY2" i="3"/>
  <c r="CZ2" i="3"/>
  <c r="DB2" i="3" s="1"/>
  <c r="DA2" i="3"/>
  <c r="DC2" i="3"/>
  <c r="A3" i="3"/>
  <c r="CY3" i="3"/>
  <c r="CZ3" i="3"/>
  <c r="DA3" i="3"/>
  <c r="DB3" i="3"/>
  <c r="DC3" i="3"/>
  <c r="A4" i="3"/>
  <c r="CY4" i="3"/>
  <c r="CZ4" i="3"/>
  <c r="DB4" i="3" s="1"/>
  <c r="L8" i="8" s="1"/>
  <c r="DA4" i="3"/>
  <c r="DC4" i="3"/>
  <c r="Q8" i="8" s="1"/>
  <c r="A5" i="3"/>
  <c r="CY5" i="3"/>
  <c r="CZ5" i="3"/>
  <c r="DB5" i="3" s="1"/>
  <c r="DA5" i="3"/>
  <c r="DC5" i="3"/>
  <c r="A6" i="3"/>
  <c r="CY6" i="3"/>
  <c r="CZ6" i="3"/>
  <c r="DA6" i="3"/>
  <c r="DB6" i="3"/>
  <c r="DC6" i="3"/>
  <c r="A7" i="3"/>
  <c r="CY7" i="3"/>
  <c r="CZ7" i="3"/>
  <c r="DB7" i="3" s="1"/>
  <c r="DA7" i="3"/>
  <c r="DC7" i="3"/>
  <c r="A8" i="3"/>
  <c r="CY8" i="3"/>
  <c r="CZ8" i="3"/>
  <c r="DB8" i="3" s="1"/>
  <c r="DA8" i="3"/>
  <c r="DC8" i="3"/>
  <c r="A9" i="3"/>
  <c r="CY9" i="3"/>
  <c r="CZ9" i="3"/>
  <c r="DB9" i="3" s="1"/>
  <c r="DA9" i="3"/>
  <c r="DC9" i="3"/>
  <c r="A10" i="3"/>
  <c r="CY10" i="3"/>
  <c r="CZ10" i="3"/>
  <c r="DB10" i="3" s="1"/>
  <c r="DA10" i="3"/>
  <c r="DC10" i="3"/>
  <c r="A11" i="3"/>
  <c r="CY11" i="3"/>
  <c r="CZ11" i="3"/>
  <c r="DA11" i="3"/>
  <c r="DB11" i="3"/>
  <c r="L11" i="8" s="1"/>
  <c r="DC11" i="3"/>
  <c r="Q11" i="8" s="1"/>
  <c r="A12" i="3"/>
  <c r="CY12" i="3"/>
  <c r="CZ12" i="3"/>
  <c r="DB12" i="3" s="1"/>
  <c r="DA12" i="3"/>
  <c r="DC12" i="3"/>
  <c r="A13" i="3"/>
  <c r="CY13" i="3"/>
  <c r="CZ13" i="3"/>
  <c r="DB13" i="3" s="1"/>
  <c r="L10" i="8" s="1"/>
  <c r="DA13" i="3"/>
  <c r="DC13" i="3"/>
  <c r="Q10" i="8" s="1"/>
  <c r="A14" i="3"/>
  <c r="CY14" i="3"/>
  <c r="CZ14" i="3"/>
  <c r="DA14" i="3"/>
  <c r="DB14" i="3"/>
  <c r="L9" i="8" s="1"/>
  <c r="DC14" i="3"/>
  <c r="Q9" i="8" s="1"/>
  <c r="A15" i="3"/>
  <c r="CY15" i="3"/>
  <c r="CZ15" i="3"/>
  <c r="DB15" i="3" s="1"/>
  <c r="DA15" i="3"/>
  <c r="DC15" i="3"/>
  <c r="A16" i="3"/>
  <c r="CY16" i="3"/>
  <c r="CZ16" i="3"/>
  <c r="DB16" i="3" s="1"/>
  <c r="DA16" i="3"/>
  <c r="DC16" i="3"/>
  <c r="A17" i="3"/>
  <c r="CY17" i="3"/>
  <c r="CZ17" i="3"/>
  <c r="DB17" i="3" s="1"/>
  <c r="DA17" i="3"/>
  <c r="DC17" i="3"/>
  <c r="A18" i="3"/>
  <c r="CY18" i="3"/>
  <c r="CZ18" i="3"/>
  <c r="DB18" i="3" s="1"/>
  <c r="DA18" i="3"/>
  <c r="DC18" i="3"/>
  <c r="A19" i="3"/>
  <c r="CY19" i="3"/>
  <c r="CZ19" i="3"/>
  <c r="DA19" i="3"/>
  <c r="DB19" i="3"/>
  <c r="DC19" i="3"/>
  <c r="A20" i="3"/>
  <c r="CY20" i="3"/>
  <c r="CZ20" i="3"/>
  <c r="DB20" i="3" s="1"/>
  <c r="L13" i="8" s="1"/>
  <c r="DA20" i="3"/>
  <c r="DC20" i="3"/>
  <c r="Q13" i="8" s="1"/>
  <c r="A21" i="3"/>
  <c r="CY21" i="3"/>
  <c r="CZ21" i="3"/>
  <c r="DB21" i="3" s="1"/>
  <c r="DA21" i="3"/>
  <c r="DC21" i="3"/>
  <c r="A22" i="3"/>
  <c r="CY22" i="3"/>
  <c r="CZ22" i="3"/>
  <c r="DA22" i="3"/>
  <c r="DB22" i="3"/>
  <c r="DC22" i="3"/>
  <c r="A23" i="3"/>
  <c r="CY23" i="3"/>
  <c r="CZ23" i="3"/>
  <c r="DB23" i="3" s="1"/>
  <c r="DA23" i="3"/>
  <c r="DC23" i="3"/>
  <c r="A24" i="3"/>
  <c r="CY24" i="3"/>
  <c r="CZ24" i="3"/>
  <c r="DB24" i="3" s="1"/>
  <c r="DA24" i="3"/>
  <c r="DC24" i="3"/>
  <c r="A25" i="3"/>
  <c r="CY25" i="3"/>
  <c r="CZ25" i="3"/>
  <c r="DB25" i="3" s="1"/>
  <c r="DA25" i="3"/>
  <c r="DC25" i="3"/>
  <c r="A26" i="3"/>
  <c r="CY26" i="3"/>
  <c r="CZ26" i="3"/>
  <c r="DB26" i="3" s="1"/>
  <c r="DA26" i="3"/>
  <c r="DC26" i="3"/>
  <c r="A27" i="3"/>
  <c r="CY27" i="3"/>
  <c r="CZ27" i="3"/>
  <c r="DA27" i="3"/>
  <c r="DB27" i="3"/>
  <c r="L16" i="8" s="1"/>
  <c r="DC27" i="3"/>
  <c r="Q16" i="8" s="1"/>
  <c r="A28" i="3"/>
  <c r="CY28" i="3"/>
  <c r="CZ28" i="3"/>
  <c r="DB28" i="3" s="1"/>
  <c r="DA28" i="3"/>
  <c r="DC28" i="3"/>
  <c r="A29" i="3"/>
  <c r="CY29" i="3"/>
  <c r="CZ29" i="3"/>
  <c r="DB29" i="3" s="1"/>
  <c r="L15" i="8" s="1"/>
  <c r="DA29" i="3"/>
  <c r="DC29" i="3"/>
  <c r="Q15" i="8" s="1"/>
  <c r="A30" i="3"/>
  <c r="CY30" i="3"/>
  <c r="CZ30" i="3"/>
  <c r="DA30" i="3"/>
  <c r="DB30" i="3"/>
  <c r="L14" i="8" s="1"/>
  <c r="DC30" i="3"/>
  <c r="Q14" i="8" s="1"/>
  <c r="A31" i="3"/>
  <c r="CY31" i="3"/>
  <c r="CZ31" i="3"/>
  <c r="DB31" i="3" s="1"/>
  <c r="DA31" i="3"/>
  <c r="DC31" i="3"/>
  <c r="A32" i="3"/>
  <c r="CY32" i="3"/>
  <c r="CZ32" i="3"/>
  <c r="DB32" i="3" s="1"/>
  <c r="DA32" i="3"/>
  <c r="DC32" i="3"/>
  <c r="A33" i="3"/>
  <c r="CX33" i="3"/>
  <c r="CY33" i="3"/>
  <c r="CZ33" i="3"/>
  <c r="DB33" i="3" s="1"/>
  <c r="DA33" i="3"/>
  <c r="DC33" i="3"/>
  <c r="A34" i="3"/>
  <c r="CX34" i="3"/>
  <c r="CY34" i="3"/>
  <c r="CZ34" i="3"/>
  <c r="DA34" i="3"/>
  <c r="DB34" i="3"/>
  <c r="DC34" i="3"/>
  <c r="A35" i="3"/>
  <c r="CX35" i="3"/>
  <c r="CY35" i="3"/>
  <c r="CZ35" i="3"/>
  <c r="DA35" i="3"/>
  <c r="DB35" i="3"/>
  <c r="L19" i="8" s="1"/>
  <c r="DC35" i="3"/>
  <c r="Q19" i="8" s="1"/>
  <c r="A36" i="3"/>
  <c r="CX36" i="3"/>
  <c r="CY36" i="3"/>
  <c r="CZ36" i="3"/>
  <c r="DB36" i="3" s="1"/>
  <c r="L18" i="8" s="1"/>
  <c r="DA36" i="3"/>
  <c r="DC36" i="3"/>
  <c r="Q18" i="8" s="1"/>
  <c r="D12" i="1"/>
  <c r="E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D20" i="1"/>
  <c r="E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D24" i="1"/>
  <c r="C26" i="1"/>
  <c r="E26" i="1"/>
  <c r="Z26" i="1"/>
  <c r="AA26" i="1"/>
  <c r="AM26" i="1"/>
  <c r="AN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R26" i="1"/>
  <c r="DS26" i="1"/>
  <c r="EE26" i="1"/>
  <c r="EF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C28" i="1"/>
  <c r="D28" i="1"/>
  <c r="I28" i="1"/>
  <c r="CX1" i="3" s="1"/>
  <c r="AC28" i="1"/>
  <c r="AE28" i="1"/>
  <c r="AD28" i="1" s="1"/>
  <c r="CR28" i="1" s="1"/>
  <c r="Q28" i="1" s="1"/>
  <c r="AF28" i="1"/>
  <c r="CT28" i="1" s="1"/>
  <c r="S28" i="1" s="1"/>
  <c r="AG28" i="1"/>
  <c r="CU28" i="1" s="1"/>
  <c r="T28" i="1" s="1"/>
  <c r="AH28" i="1"/>
  <c r="AI28" i="1"/>
  <c r="AJ28" i="1"/>
  <c r="CV28" i="1"/>
  <c r="U28" i="1" s="1"/>
  <c r="CW28" i="1"/>
  <c r="V28" i="1" s="1"/>
  <c r="CX28" i="1"/>
  <c r="W28" i="1" s="1"/>
  <c r="FR28" i="1"/>
  <c r="GL28" i="1"/>
  <c r="GO28" i="1"/>
  <c r="GP28" i="1"/>
  <c r="GV28" i="1"/>
  <c r="HC28" i="1"/>
  <c r="GX28" i="1" s="1"/>
  <c r="C29" i="1"/>
  <c r="D29" i="1"/>
  <c r="I29" i="1"/>
  <c r="CX2" i="3" s="1"/>
  <c r="S29" i="1"/>
  <c r="AC29" i="1"/>
  <c r="AE29" i="1"/>
  <c r="CS29" i="1" s="1"/>
  <c r="R29" i="1" s="1"/>
  <c r="AF29" i="1"/>
  <c r="AG29" i="1"/>
  <c r="CU29" i="1" s="1"/>
  <c r="AH29" i="1"/>
  <c r="CV29" i="1" s="1"/>
  <c r="AI29" i="1"/>
  <c r="AJ29" i="1"/>
  <c r="CT29" i="1"/>
  <c r="CW29" i="1"/>
  <c r="V29" i="1" s="1"/>
  <c r="CX29" i="1"/>
  <c r="FR29" i="1"/>
  <c r="GL29" i="1"/>
  <c r="GO29" i="1"/>
  <c r="GP29" i="1"/>
  <c r="GV29" i="1"/>
  <c r="HC29" i="1" s="1"/>
  <c r="GX29" i="1" s="1"/>
  <c r="C30" i="1"/>
  <c r="D30" i="1"/>
  <c r="I30" i="1"/>
  <c r="D13" i="6" s="1"/>
  <c r="AC30" i="1"/>
  <c r="AE30" i="1"/>
  <c r="AD30" i="1" s="1"/>
  <c r="CR30" i="1" s="1"/>
  <c r="Q30" i="1" s="1"/>
  <c r="AF30" i="1"/>
  <c r="CT30" i="1" s="1"/>
  <c r="S30" i="1" s="1"/>
  <c r="AG30" i="1"/>
  <c r="AH30" i="1"/>
  <c r="CV30" i="1" s="1"/>
  <c r="AI30" i="1"/>
  <c r="AJ30" i="1"/>
  <c r="CX30" i="1" s="1"/>
  <c r="W30" i="1" s="1"/>
  <c r="CQ30" i="1"/>
  <c r="CU30" i="1"/>
  <c r="CW30" i="1"/>
  <c r="V30" i="1" s="1"/>
  <c r="FR30" i="1"/>
  <c r="GL30" i="1"/>
  <c r="GO30" i="1"/>
  <c r="GP30" i="1"/>
  <c r="GV30" i="1"/>
  <c r="HC30" i="1" s="1"/>
  <c r="GX30" i="1" s="1"/>
  <c r="C31" i="1"/>
  <c r="D31" i="1"/>
  <c r="I31" i="1"/>
  <c r="W31" i="1"/>
  <c r="AC31" i="1"/>
  <c r="AE31" i="1"/>
  <c r="AD31" i="1" s="1"/>
  <c r="CR31" i="1" s="1"/>
  <c r="Q31" i="1" s="1"/>
  <c r="AF31" i="1"/>
  <c r="AG31" i="1"/>
  <c r="CU31" i="1" s="1"/>
  <c r="T31" i="1" s="1"/>
  <c r="AH31" i="1"/>
  <c r="AI31" i="1"/>
  <c r="CW31" i="1" s="1"/>
  <c r="V31" i="1" s="1"/>
  <c r="AJ31" i="1"/>
  <c r="CT31" i="1"/>
  <c r="S31" i="1" s="1"/>
  <c r="CV31" i="1"/>
  <c r="U31" i="1" s="1"/>
  <c r="CX31" i="1"/>
  <c r="FR31" i="1"/>
  <c r="GL31" i="1"/>
  <c r="FR35" i="1" s="1"/>
  <c r="GO31" i="1"/>
  <c r="FU35" i="1" s="1"/>
  <c r="GP31" i="1"/>
  <c r="GV31" i="1"/>
  <c r="HC31" i="1" s="1"/>
  <c r="C32" i="1"/>
  <c r="D32" i="1"/>
  <c r="AC32" i="1"/>
  <c r="AE32" i="1"/>
  <c r="AD32" i="1" s="1"/>
  <c r="AF32" i="1"/>
  <c r="CT32" i="1" s="1"/>
  <c r="AG32" i="1"/>
  <c r="AH32" i="1"/>
  <c r="CV32" i="1" s="1"/>
  <c r="AI32" i="1"/>
  <c r="AJ32" i="1"/>
  <c r="CX32" i="1" s="1"/>
  <c r="CQ32" i="1"/>
  <c r="CU32" i="1"/>
  <c r="CW32" i="1"/>
  <c r="FR32" i="1"/>
  <c r="GL32" i="1"/>
  <c r="GO32" i="1"/>
  <c r="GP32" i="1"/>
  <c r="GV32" i="1"/>
  <c r="HC32" i="1" s="1"/>
  <c r="C33" i="1"/>
  <c r="D33" i="1"/>
  <c r="I33" i="1"/>
  <c r="AC33" i="1"/>
  <c r="AE33" i="1"/>
  <c r="AF33" i="1"/>
  <c r="AG33" i="1"/>
  <c r="CU33" i="1" s="1"/>
  <c r="T33" i="1" s="1"/>
  <c r="AH33" i="1"/>
  <c r="AI33" i="1"/>
  <c r="CW33" i="1" s="1"/>
  <c r="AJ33" i="1"/>
  <c r="CX33" i="1" s="1"/>
  <c r="W33" i="1" s="1"/>
  <c r="CT33" i="1"/>
  <c r="S33" i="1" s="1"/>
  <c r="K39" i="5" s="1"/>
  <c r="CV33" i="1"/>
  <c r="FR33" i="1"/>
  <c r="FQ35" i="1" s="1"/>
  <c r="EH35" i="1" s="1"/>
  <c r="GL33" i="1"/>
  <c r="GO33" i="1"/>
  <c r="GP33" i="1"/>
  <c r="GV33" i="1"/>
  <c r="HC33" i="1" s="1"/>
  <c r="GX33" i="1" s="1"/>
  <c r="B35" i="1"/>
  <c r="B26" i="1" s="1"/>
  <c r="C35" i="1"/>
  <c r="D35" i="1"/>
  <c r="D26" i="1" s="1"/>
  <c r="F35" i="1"/>
  <c r="F26" i="1" s="1"/>
  <c r="G35" i="1"/>
  <c r="BX35" i="1"/>
  <c r="BZ35" i="1"/>
  <c r="CD35" i="1"/>
  <c r="CK35" i="1"/>
  <c r="CK26" i="1" s="1"/>
  <c r="CL35" i="1"/>
  <c r="FP35" i="1"/>
  <c r="FP26" i="1" s="1"/>
  <c r="FV35" i="1"/>
  <c r="GC35" i="1"/>
  <c r="GD35" i="1"/>
  <c r="D64" i="1"/>
  <c r="E66" i="1"/>
  <c r="Z66" i="1"/>
  <c r="AA66" i="1"/>
  <c r="AM66" i="1"/>
  <c r="AN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R66" i="1"/>
  <c r="DS66" i="1"/>
  <c r="EE66" i="1"/>
  <c r="EF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C68" i="1"/>
  <c r="D68" i="1"/>
  <c r="I68" i="1"/>
  <c r="CX17" i="3" s="1"/>
  <c r="AC68" i="1"/>
  <c r="CQ68" i="1" s="1"/>
  <c r="P68" i="1" s="1"/>
  <c r="AE68" i="1"/>
  <c r="CS68" i="1" s="1"/>
  <c r="R68" i="1" s="1"/>
  <c r="CY68" i="1" s="1"/>
  <c r="X68" i="1" s="1"/>
  <c r="AF68" i="1"/>
  <c r="AG68" i="1"/>
  <c r="AH68" i="1"/>
  <c r="CV68" i="1" s="1"/>
  <c r="U68" i="1" s="1"/>
  <c r="AI68" i="1"/>
  <c r="CW68" i="1" s="1"/>
  <c r="V68" i="1" s="1"/>
  <c r="AJ68" i="1"/>
  <c r="CX68" i="1" s="1"/>
  <c r="W68" i="1" s="1"/>
  <c r="CT68" i="1"/>
  <c r="S68" i="1" s="1"/>
  <c r="CU68" i="1"/>
  <c r="T68" i="1" s="1"/>
  <c r="FR68" i="1"/>
  <c r="GL68" i="1"/>
  <c r="GO68" i="1"/>
  <c r="GP68" i="1"/>
  <c r="GV68" i="1"/>
  <c r="HC68" i="1" s="1"/>
  <c r="GX68" i="1" s="1"/>
  <c r="C69" i="1"/>
  <c r="D69" i="1"/>
  <c r="I69" i="1"/>
  <c r="CX18" i="3" s="1"/>
  <c r="AC69" i="1"/>
  <c r="AE69" i="1"/>
  <c r="AD69" i="1" s="1"/>
  <c r="AF69" i="1"/>
  <c r="CT69" i="1" s="1"/>
  <c r="AG69" i="1"/>
  <c r="CU69" i="1" s="1"/>
  <c r="T69" i="1" s="1"/>
  <c r="AH69" i="1"/>
  <c r="AI69" i="1"/>
  <c r="CW69" i="1" s="1"/>
  <c r="AJ69" i="1"/>
  <c r="CQ69" i="1"/>
  <c r="P69" i="1" s="1"/>
  <c r="CS69" i="1"/>
  <c r="CV69" i="1"/>
  <c r="U69" i="1" s="1"/>
  <c r="CX69" i="1"/>
  <c r="W69" i="1" s="1"/>
  <c r="FR69" i="1"/>
  <c r="GL69" i="1"/>
  <c r="GO69" i="1"/>
  <c r="GP69" i="1"/>
  <c r="GV69" i="1"/>
  <c r="HC69" i="1" s="1"/>
  <c r="GX69" i="1" s="1"/>
  <c r="C70" i="1"/>
  <c r="D70" i="1"/>
  <c r="I70" i="1"/>
  <c r="D16" i="6" s="1"/>
  <c r="AC70" i="1"/>
  <c r="AE70" i="1"/>
  <c r="CS70" i="1" s="1"/>
  <c r="R70" i="1" s="1"/>
  <c r="AF70" i="1"/>
  <c r="CT70" i="1" s="1"/>
  <c r="S70" i="1" s="1"/>
  <c r="AG70" i="1"/>
  <c r="AH70" i="1"/>
  <c r="CV70" i="1" s="1"/>
  <c r="U70" i="1" s="1"/>
  <c r="AI70" i="1"/>
  <c r="CW70" i="1" s="1"/>
  <c r="V70" i="1" s="1"/>
  <c r="AJ70" i="1"/>
  <c r="CX70" i="1" s="1"/>
  <c r="W70" i="1" s="1"/>
  <c r="CQ70" i="1"/>
  <c r="CU70" i="1"/>
  <c r="FR70" i="1"/>
  <c r="GL70" i="1"/>
  <c r="BZ75" i="1" s="1"/>
  <c r="BZ66" i="1" s="1"/>
  <c r="GO70" i="1"/>
  <c r="CC75" i="1" s="1"/>
  <c r="GP70" i="1"/>
  <c r="GV70" i="1"/>
  <c r="HC70" i="1"/>
  <c r="GX70" i="1" s="1"/>
  <c r="C71" i="1"/>
  <c r="D71" i="1"/>
  <c r="I71" i="1"/>
  <c r="W71" i="1"/>
  <c r="AC71" i="1"/>
  <c r="AE71" i="1"/>
  <c r="AD71" i="1" s="1"/>
  <c r="CR71" i="1" s="1"/>
  <c r="Q71" i="1" s="1"/>
  <c r="AF71" i="1"/>
  <c r="AG71" i="1"/>
  <c r="CU71" i="1" s="1"/>
  <c r="T71" i="1" s="1"/>
  <c r="AH71" i="1"/>
  <c r="AI71" i="1"/>
  <c r="CW71" i="1" s="1"/>
  <c r="V71" i="1" s="1"/>
  <c r="AJ71" i="1"/>
  <c r="CT71" i="1"/>
  <c r="S71" i="1" s="1"/>
  <c r="K54" i="5" s="1"/>
  <c r="CV71" i="1"/>
  <c r="U71" i="1" s="1"/>
  <c r="CX71" i="1"/>
  <c r="FR71" i="1"/>
  <c r="GL71" i="1"/>
  <c r="FR75" i="1" s="1"/>
  <c r="GO71" i="1"/>
  <c r="FU75" i="1" s="1"/>
  <c r="GP71" i="1"/>
  <c r="GV71" i="1"/>
  <c r="HC71" i="1"/>
  <c r="GX71" i="1" s="1"/>
  <c r="C72" i="1"/>
  <c r="D72" i="1"/>
  <c r="AC72" i="1"/>
  <c r="AD72" i="1"/>
  <c r="AE72" i="1"/>
  <c r="AF72" i="1"/>
  <c r="CT72" i="1" s="1"/>
  <c r="AG72" i="1"/>
  <c r="CU72" i="1" s="1"/>
  <c r="AH72" i="1"/>
  <c r="CV72" i="1" s="1"/>
  <c r="AI72" i="1"/>
  <c r="CW72" i="1" s="1"/>
  <c r="AJ72" i="1"/>
  <c r="CX72" i="1" s="1"/>
  <c r="CQ72" i="1"/>
  <c r="CS72" i="1"/>
  <c r="FR72" i="1"/>
  <c r="GL72" i="1"/>
  <c r="GO72" i="1"/>
  <c r="GP72" i="1"/>
  <c r="GV72" i="1"/>
  <c r="HC72" i="1" s="1"/>
  <c r="C73" i="1"/>
  <c r="D73" i="1"/>
  <c r="I73" i="1"/>
  <c r="AC73" i="1"/>
  <c r="AE73" i="1"/>
  <c r="H62" i="5" s="1"/>
  <c r="R62" i="5" s="1"/>
  <c r="AF73" i="1"/>
  <c r="CT73" i="1" s="1"/>
  <c r="S73" i="1" s="1"/>
  <c r="K60" i="5" s="1"/>
  <c r="AG73" i="1"/>
  <c r="CU73" i="1" s="1"/>
  <c r="T73" i="1" s="1"/>
  <c r="AH73" i="1"/>
  <c r="CV73" i="1" s="1"/>
  <c r="U73" i="1" s="1"/>
  <c r="AI73" i="1"/>
  <c r="CW73" i="1" s="1"/>
  <c r="V73" i="1" s="1"/>
  <c r="AJ73" i="1"/>
  <c r="CX73" i="1"/>
  <c r="W73" i="1" s="1"/>
  <c r="FR73" i="1"/>
  <c r="GL73" i="1"/>
  <c r="GO73" i="1"/>
  <c r="GP73" i="1"/>
  <c r="GV73" i="1"/>
  <c r="HC73" i="1" s="1"/>
  <c r="GX73" i="1" s="1"/>
  <c r="B75" i="1"/>
  <c r="B66" i="1" s="1"/>
  <c r="C75" i="1"/>
  <c r="C66" i="1" s="1"/>
  <c r="D75" i="1"/>
  <c r="D66" i="1" s="1"/>
  <c r="F75" i="1"/>
  <c r="F66" i="1" s="1"/>
  <c r="G75" i="1"/>
  <c r="BX75" i="1"/>
  <c r="CD75" i="1"/>
  <c r="CD66" i="1" s="1"/>
  <c r="CK75" i="1"/>
  <c r="CK66" i="1" s="1"/>
  <c r="CL75" i="1"/>
  <c r="CL66" i="1" s="1"/>
  <c r="ET75" i="1"/>
  <c r="ET66" i="1" s="1"/>
  <c r="FP75" i="1"/>
  <c r="FQ75" i="1"/>
  <c r="FQ66" i="1" s="1"/>
  <c r="FV75" i="1"/>
  <c r="GC75" i="1"/>
  <c r="GC66" i="1" s="1"/>
  <c r="GD75" i="1"/>
  <c r="P88" i="1"/>
  <c r="D104" i="1"/>
  <c r="E106" i="1"/>
  <c r="F106" i="1"/>
  <c r="Z106" i="1"/>
  <c r="AA106" i="1"/>
  <c r="AM106" i="1"/>
  <c r="AN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R106" i="1"/>
  <c r="DS106" i="1"/>
  <c r="EE106" i="1"/>
  <c r="EF106" i="1"/>
  <c r="EV106" i="1"/>
  <c r="EW106" i="1"/>
  <c r="EX106" i="1"/>
  <c r="EY106" i="1"/>
  <c r="EZ106" i="1"/>
  <c r="FA106" i="1"/>
  <c r="FB106" i="1"/>
  <c r="FC106" i="1"/>
  <c r="FD106" i="1"/>
  <c r="FE106" i="1"/>
  <c r="FF106" i="1"/>
  <c r="FG106" i="1"/>
  <c r="FH106" i="1"/>
  <c r="FI106" i="1"/>
  <c r="FJ106" i="1"/>
  <c r="FK106" i="1"/>
  <c r="FL106" i="1"/>
  <c r="FM106" i="1"/>
  <c r="FN106" i="1"/>
  <c r="FO106" i="1"/>
  <c r="GE106" i="1"/>
  <c r="GF106" i="1"/>
  <c r="GG106" i="1"/>
  <c r="GH106" i="1"/>
  <c r="GI106" i="1"/>
  <c r="GJ106" i="1"/>
  <c r="GK106" i="1"/>
  <c r="GL106" i="1"/>
  <c r="GM106" i="1"/>
  <c r="GN106" i="1"/>
  <c r="GO106" i="1"/>
  <c r="GP106" i="1"/>
  <c r="GQ106" i="1"/>
  <c r="GR106" i="1"/>
  <c r="GS106" i="1"/>
  <c r="GT106" i="1"/>
  <c r="GU106" i="1"/>
  <c r="GV106" i="1"/>
  <c r="GW106" i="1"/>
  <c r="GX106" i="1"/>
  <c r="C108" i="1"/>
  <c r="D108" i="1"/>
  <c r="W108" i="1"/>
  <c r="AC108" i="1"/>
  <c r="AE108" i="1"/>
  <c r="AF108" i="1"/>
  <c r="AG108" i="1"/>
  <c r="CU108" i="1" s="1"/>
  <c r="T108" i="1" s="1"/>
  <c r="AH108" i="1"/>
  <c r="AI108" i="1"/>
  <c r="CW108" i="1" s="1"/>
  <c r="V108" i="1" s="1"/>
  <c r="AJ108" i="1"/>
  <c r="CT108" i="1"/>
  <c r="S108" i="1" s="1"/>
  <c r="CV108" i="1"/>
  <c r="U108" i="1" s="1"/>
  <c r="CX108" i="1"/>
  <c r="FR108" i="1"/>
  <c r="GL108" i="1"/>
  <c r="GO108" i="1"/>
  <c r="CC115" i="1" s="1"/>
  <c r="GP108" i="1"/>
  <c r="GV108" i="1"/>
  <c r="HC108" i="1" s="1"/>
  <c r="GX108" i="1" s="1"/>
  <c r="C109" i="1"/>
  <c r="D109" i="1"/>
  <c r="AC109" i="1"/>
  <c r="H75" i="5" s="1"/>
  <c r="AE109" i="1"/>
  <c r="AF109" i="1"/>
  <c r="CT109" i="1" s="1"/>
  <c r="S109" i="1" s="1"/>
  <c r="AG109" i="1"/>
  <c r="CU109" i="1" s="1"/>
  <c r="T109" i="1" s="1"/>
  <c r="AH109" i="1"/>
  <c r="AI109" i="1"/>
  <c r="CW109" i="1" s="1"/>
  <c r="V109" i="1" s="1"/>
  <c r="AJ109" i="1"/>
  <c r="CV109" i="1"/>
  <c r="U109" i="1" s="1"/>
  <c r="CX109" i="1"/>
  <c r="W109" i="1" s="1"/>
  <c r="FR109" i="1"/>
  <c r="GL109" i="1"/>
  <c r="GO109" i="1"/>
  <c r="GP109" i="1"/>
  <c r="GV109" i="1"/>
  <c r="HC109" i="1"/>
  <c r="GX109" i="1" s="1"/>
  <c r="O110" i="1"/>
  <c r="P110" i="1"/>
  <c r="Q110" i="1"/>
  <c r="R110" i="1"/>
  <c r="S110" i="1"/>
  <c r="T110" i="1"/>
  <c r="U110" i="1"/>
  <c r="V110" i="1"/>
  <c r="W110" i="1"/>
  <c r="X110" i="1"/>
  <c r="Y110" i="1"/>
  <c r="AB110" i="1"/>
  <c r="AC110" i="1"/>
  <c r="AD110" i="1"/>
  <c r="AE110" i="1"/>
  <c r="AF110" i="1"/>
  <c r="AG110" i="1"/>
  <c r="AH110" i="1"/>
  <c r="AI110" i="1"/>
  <c r="AJ110" i="1"/>
  <c r="CP110" i="1"/>
  <c r="GM110" i="1" s="1"/>
  <c r="FR110" i="1"/>
  <c r="GL110" i="1"/>
  <c r="GO110" i="1"/>
  <c r="GP110" i="1"/>
  <c r="GV110" i="1"/>
  <c r="GX110" i="1"/>
  <c r="O111" i="1"/>
  <c r="P111" i="1"/>
  <c r="Q111" i="1"/>
  <c r="R111" i="1"/>
  <c r="S111" i="1"/>
  <c r="T111" i="1"/>
  <c r="U111" i="1"/>
  <c r="L81" i="5" s="1"/>
  <c r="Q81" i="5" s="1"/>
  <c r="V111" i="1"/>
  <c r="W111" i="1"/>
  <c r="X111" i="1"/>
  <c r="T80" i="5" s="1"/>
  <c r="Y111" i="1"/>
  <c r="V80" i="5" s="1"/>
  <c r="AB111" i="1"/>
  <c r="AC111" i="1"/>
  <c r="AD111" i="1"/>
  <c r="AE111" i="1"/>
  <c r="AF111" i="1"/>
  <c r="AG111" i="1"/>
  <c r="AH111" i="1"/>
  <c r="AI111" i="1"/>
  <c r="AJ111" i="1"/>
  <c r="FR111" i="1"/>
  <c r="GL111" i="1"/>
  <c r="GO111" i="1"/>
  <c r="GP111" i="1"/>
  <c r="GV111" i="1"/>
  <c r="GX111" i="1"/>
  <c r="AC112" i="1"/>
  <c r="AE112" i="1"/>
  <c r="AF112" i="1"/>
  <c r="AG112" i="1"/>
  <c r="CU112" i="1" s="1"/>
  <c r="T112" i="1" s="1"/>
  <c r="AH112" i="1"/>
  <c r="AI112" i="1"/>
  <c r="CW112" i="1" s="1"/>
  <c r="V112" i="1" s="1"/>
  <c r="AJ112" i="1"/>
  <c r="CX112" i="1" s="1"/>
  <c r="W112" i="1" s="1"/>
  <c r="CT112" i="1"/>
  <c r="S112" i="1" s="1"/>
  <c r="CV112" i="1"/>
  <c r="U112" i="1" s="1"/>
  <c r="FR112" i="1"/>
  <c r="GL112" i="1"/>
  <c r="GN112" i="1"/>
  <c r="GO112" i="1"/>
  <c r="GV112" i="1"/>
  <c r="HC112" i="1" s="1"/>
  <c r="GX112" i="1" s="1"/>
  <c r="AC113" i="1"/>
  <c r="AE113" i="1"/>
  <c r="AF113" i="1"/>
  <c r="AG113" i="1"/>
  <c r="CU113" i="1" s="1"/>
  <c r="T113" i="1" s="1"/>
  <c r="AH113" i="1"/>
  <c r="AI113" i="1"/>
  <c r="CW113" i="1" s="1"/>
  <c r="V113" i="1" s="1"/>
  <c r="AJ113" i="1"/>
  <c r="CX113" i="1" s="1"/>
  <c r="W113" i="1" s="1"/>
  <c r="CT113" i="1"/>
  <c r="S113" i="1" s="1"/>
  <c r="CV113" i="1"/>
  <c r="U113" i="1" s="1"/>
  <c r="L83" i="5" s="1"/>
  <c r="Q83" i="5" s="1"/>
  <c r="FR113" i="1"/>
  <c r="GL113" i="1"/>
  <c r="FR115" i="1" s="1"/>
  <c r="GN113" i="1"/>
  <c r="GO113" i="1"/>
  <c r="GV113" i="1"/>
  <c r="HC113" i="1" s="1"/>
  <c r="GX113" i="1" s="1"/>
  <c r="B115" i="1"/>
  <c r="B106" i="1" s="1"/>
  <c r="C115" i="1"/>
  <c r="C106" i="1" s="1"/>
  <c r="D115" i="1"/>
  <c r="D106" i="1" s="1"/>
  <c r="F115" i="1"/>
  <c r="G115" i="1"/>
  <c r="BX115" i="1"/>
  <c r="BY115" i="1"/>
  <c r="BY106" i="1" s="1"/>
  <c r="CK115" i="1"/>
  <c r="CK106" i="1" s="1"/>
  <c r="CL115" i="1"/>
  <c r="FP115" i="1"/>
  <c r="FQ115" i="1"/>
  <c r="FQ106" i="1" s="1"/>
  <c r="GC115" i="1"/>
  <c r="GC106" i="1" s="1"/>
  <c r="GD115" i="1"/>
  <c r="GD106" i="1" s="1"/>
  <c r="B144" i="1"/>
  <c r="B22" i="1" s="1"/>
  <c r="C144" i="1"/>
  <c r="C22" i="1" s="1"/>
  <c r="D144" i="1"/>
  <c r="D22" i="1" s="1"/>
  <c r="F144" i="1"/>
  <c r="F22" i="1" s="1"/>
  <c r="G144" i="1"/>
  <c r="B180" i="1"/>
  <c r="B18" i="1" s="1"/>
  <c r="C180" i="1"/>
  <c r="C18" i="1" s="1"/>
  <c r="D180" i="1"/>
  <c r="D18" i="1" s="1"/>
  <c r="F180" i="1"/>
  <c r="F18" i="1" s="1"/>
  <c r="G180" i="1"/>
  <c r="B47" i="2"/>
  <c r="B48" i="2"/>
  <c r="FU26" i="1" l="1"/>
  <c r="EL35" i="1"/>
  <c r="EL26" i="1" s="1"/>
  <c r="EB115" i="1"/>
  <c r="L65" i="5"/>
  <c r="L66" i="5"/>
  <c r="Q66" i="5" s="1"/>
  <c r="FU66" i="1"/>
  <c r="EL75" i="1"/>
  <c r="K33" i="5"/>
  <c r="DX35" i="1"/>
  <c r="AT115" i="1"/>
  <c r="AT106" i="1" s="1"/>
  <c r="CC106" i="1"/>
  <c r="P44" i="1"/>
  <c r="EH26" i="1"/>
  <c r="DX115" i="1"/>
  <c r="K74" i="5"/>
  <c r="AJ115" i="1"/>
  <c r="BB115" i="1"/>
  <c r="BB106" i="1" s="1"/>
  <c r="EG35" i="1"/>
  <c r="EG26" i="1" s="1"/>
  <c r="CY29" i="1"/>
  <c r="X29" i="1" s="1"/>
  <c r="T19" i="8"/>
  <c r="R19" i="8"/>
  <c r="O14" i="8"/>
  <c r="M14" i="8"/>
  <c r="T11" i="8"/>
  <c r="R11" i="8"/>
  <c r="GN110" i="1"/>
  <c r="DZ115" i="1"/>
  <c r="L78" i="5"/>
  <c r="L79" i="5"/>
  <c r="Q79" i="5" s="1"/>
  <c r="L85" i="5" s="1"/>
  <c r="AD70" i="1"/>
  <c r="CR70" i="1" s="1"/>
  <c r="Q70" i="1" s="1"/>
  <c r="CP70" i="1" s="1"/>
  <c r="O70" i="1" s="1"/>
  <c r="CZ68" i="1"/>
  <c r="Y68" i="1" s="1"/>
  <c r="H39" i="5"/>
  <c r="U38" i="5"/>
  <c r="H43" i="5" s="1"/>
  <c r="S38" i="5"/>
  <c r="H42" i="5" s="1"/>
  <c r="DY35" i="1"/>
  <c r="EB35" i="1"/>
  <c r="CC35" i="1"/>
  <c r="T30" i="1"/>
  <c r="AD29" i="1"/>
  <c r="CR29" i="1" s="1"/>
  <c r="M19" i="8"/>
  <c r="F9" i="7" s="1"/>
  <c r="O19" i="8"/>
  <c r="H9" i="7" s="1"/>
  <c r="T15" i="8"/>
  <c r="H17" i="7" s="1"/>
  <c r="R15" i="8"/>
  <c r="F17" i="7" s="1"/>
  <c r="M11" i="8"/>
  <c r="O11" i="8"/>
  <c r="O8" i="8"/>
  <c r="H10" i="7" s="1"/>
  <c r="M8" i="8"/>
  <c r="G106" i="1"/>
  <c r="A85" i="5"/>
  <c r="L37" i="5"/>
  <c r="Q37" i="5" s="1"/>
  <c r="L36" i="5"/>
  <c r="M13" i="8"/>
  <c r="O13" i="8"/>
  <c r="O10" i="8"/>
  <c r="H14" i="7" s="1"/>
  <c r="M10" i="8"/>
  <c r="F14" i="7" s="1"/>
  <c r="FY115" i="1"/>
  <c r="GB115" i="1"/>
  <c r="GB106" i="1" s="1"/>
  <c r="CP111" i="1"/>
  <c r="GN111" i="1" s="1"/>
  <c r="H80" i="5"/>
  <c r="BZ115" i="1"/>
  <c r="BB75" i="1"/>
  <c r="BB66" i="1" s="1"/>
  <c r="EB75" i="1"/>
  <c r="G18" i="1"/>
  <c r="A3" i="7"/>
  <c r="ET115" i="1"/>
  <c r="AP115" i="1"/>
  <c r="AP106" i="1" s="1"/>
  <c r="P20" i="8"/>
  <c r="R20" i="8" s="1"/>
  <c r="S20" i="8"/>
  <c r="T20" i="8" s="1"/>
  <c r="FU115" i="1"/>
  <c r="EL115" i="1" s="1"/>
  <c r="G66" i="1"/>
  <c r="A68" i="5"/>
  <c r="E59" i="5"/>
  <c r="I15" i="8"/>
  <c r="D16" i="7" s="1"/>
  <c r="I16" i="8"/>
  <c r="I14" i="8"/>
  <c r="S52" i="5"/>
  <c r="H55" i="5" s="1"/>
  <c r="H54" i="5"/>
  <c r="U52" i="5"/>
  <c r="H56" i="5" s="1"/>
  <c r="CX20" i="3"/>
  <c r="C53" i="5"/>
  <c r="I13" i="8"/>
  <c r="E52" i="5"/>
  <c r="BY75" i="1"/>
  <c r="P70" i="1"/>
  <c r="V69" i="1"/>
  <c r="G26" i="1"/>
  <c r="A47" i="5"/>
  <c r="V33" i="1"/>
  <c r="H41" i="5"/>
  <c r="R41" i="5" s="1"/>
  <c r="CS32" i="1"/>
  <c r="GX31" i="1"/>
  <c r="GB35" i="1" s="1"/>
  <c r="H33" i="5"/>
  <c r="U31" i="5"/>
  <c r="H35" i="5" s="1"/>
  <c r="S31" i="5"/>
  <c r="H34" i="5" s="1"/>
  <c r="CS30" i="1"/>
  <c r="R30" i="1" s="1"/>
  <c r="U30" i="1"/>
  <c r="CZ29" i="1"/>
  <c r="Y29" i="1" s="1"/>
  <c r="T29" i="1"/>
  <c r="CS28" i="1"/>
  <c r="R28" i="1" s="1"/>
  <c r="T18" i="8"/>
  <c r="R18" i="8"/>
  <c r="T13" i="8"/>
  <c r="R13" i="8"/>
  <c r="T10" i="8"/>
  <c r="H15" i="7" s="1"/>
  <c r="R10" i="8"/>
  <c r="F15" i="7" s="1"/>
  <c r="L58" i="5"/>
  <c r="Q58" i="5" s="1"/>
  <c r="L68" i="5" s="1"/>
  <c r="L57" i="5"/>
  <c r="E38" i="5"/>
  <c r="I11" i="8"/>
  <c r="D11" i="7" s="1"/>
  <c r="I9" i="8"/>
  <c r="D18" i="7" s="1"/>
  <c r="I10" i="8"/>
  <c r="D14" i="7" s="1"/>
  <c r="O18" i="8"/>
  <c r="H23" i="7" s="1"/>
  <c r="M18" i="8"/>
  <c r="F23" i="7" s="1"/>
  <c r="O16" i="8"/>
  <c r="M16" i="8"/>
  <c r="M9" i="8"/>
  <c r="F18" i="7" s="1"/>
  <c r="O9" i="8"/>
  <c r="H18" i="7" s="1"/>
  <c r="CX14" i="3"/>
  <c r="S82" i="5"/>
  <c r="U82" i="5"/>
  <c r="G22" i="1"/>
  <c r="A89" i="5"/>
  <c r="H82" i="5"/>
  <c r="K20" i="8"/>
  <c r="N20" i="8"/>
  <c r="U73" i="5"/>
  <c r="H77" i="5" s="1"/>
  <c r="S73" i="5"/>
  <c r="H76" i="5" s="1"/>
  <c r="H74" i="5"/>
  <c r="EH75" i="1"/>
  <c r="GB75" i="1"/>
  <c r="U59" i="5"/>
  <c r="H64" i="5" s="1"/>
  <c r="H60" i="5"/>
  <c r="S59" i="5"/>
  <c r="H63" i="5" s="1"/>
  <c r="R69" i="1"/>
  <c r="BB35" i="1"/>
  <c r="U33" i="1"/>
  <c r="CX4" i="3"/>
  <c r="E31" i="5"/>
  <c r="I8" i="8"/>
  <c r="C32" i="5"/>
  <c r="BY35" i="1"/>
  <c r="AP35" i="1" s="1"/>
  <c r="AP26" i="1" s="1"/>
  <c r="P30" i="1"/>
  <c r="W29" i="1"/>
  <c r="T14" i="8"/>
  <c r="R14" i="8"/>
  <c r="M15" i="8"/>
  <c r="F16" i="7" s="1"/>
  <c r="O15" i="8"/>
  <c r="H16" i="7" s="1"/>
  <c r="T16" i="8"/>
  <c r="R16" i="8"/>
  <c r="T9" i="8"/>
  <c r="R9" i="8"/>
  <c r="T8" i="8"/>
  <c r="R8" i="8"/>
  <c r="DZ106" i="1"/>
  <c r="DM115" i="1"/>
  <c r="DX75" i="1"/>
  <c r="FU106" i="1"/>
  <c r="DO115" i="1"/>
  <c r="EB106" i="1"/>
  <c r="CJ115" i="1"/>
  <c r="DK115" i="1"/>
  <c r="DX106" i="1"/>
  <c r="ES75" i="1"/>
  <c r="GB66" i="1"/>
  <c r="FY106" i="1"/>
  <c r="EP115" i="1"/>
  <c r="BZ106" i="1"/>
  <c r="AQ115" i="1"/>
  <c r="CI115" i="1"/>
  <c r="AH115" i="1"/>
  <c r="DZ75" i="1"/>
  <c r="FR106" i="1"/>
  <c r="EI115" i="1"/>
  <c r="EG75" i="1"/>
  <c r="FY75" i="1"/>
  <c r="DY75" i="1"/>
  <c r="EB66" i="1"/>
  <c r="DO75" i="1"/>
  <c r="CR69" i="1"/>
  <c r="Q69" i="1" s="1"/>
  <c r="CP69" i="1" s="1"/>
  <c r="O69" i="1" s="1"/>
  <c r="AB69" i="1"/>
  <c r="F128" i="1"/>
  <c r="F124" i="1"/>
  <c r="EH115" i="1"/>
  <c r="CL106" i="1"/>
  <c r="BC115" i="1"/>
  <c r="AD113" i="1"/>
  <c r="CR113" i="1" s="1"/>
  <c r="Q113" i="1" s="1"/>
  <c r="CS113" i="1"/>
  <c r="R113" i="1" s="1"/>
  <c r="CZ113" i="1" s="1"/>
  <c r="Y113" i="1" s="1"/>
  <c r="V82" i="5" s="1"/>
  <c r="EA115" i="1"/>
  <c r="CS109" i="1"/>
  <c r="R109" i="1" s="1"/>
  <c r="CY109" i="1" s="1"/>
  <c r="X109" i="1" s="1"/>
  <c r="T73" i="5" s="1"/>
  <c r="K76" i="5" s="1"/>
  <c r="AD109" i="1"/>
  <c r="CR109" i="1" s="1"/>
  <c r="Q109" i="1" s="1"/>
  <c r="DV115" i="1" s="1"/>
  <c r="AI115" i="1"/>
  <c r="AD108" i="1"/>
  <c r="CR108" i="1" s="1"/>
  <c r="Q108" i="1" s="1"/>
  <c r="CS108" i="1"/>
  <c r="R108" i="1" s="1"/>
  <c r="BX66" i="1"/>
  <c r="AO75" i="1"/>
  <c r="CG75" i="1"/>
  <c r="CC66" i="1"/>
  <c r="AT75" i="1"/>
  <c r="T70" i="1"/>
  <c r="CQ112" i="1"/>
  <c r="P112" i="1" s="1"/>
  <c r="AB109" i="1"/>
  <c r="CQ109" i="1"/>
  <c r="P109" i="1" s="1"/>
  <c r="K75" i="5" s="1"/>
  <c r="CQ108" i="1"/>
  <c r="P108" i="1" s="1"/>
  <c r="CY108" i="1"/>
  <c r="X108" i="1" s="1"/>
  <c r="GD66" i="1"/>
  <c r="EU75" i="1"/>
  <c r="FR66" i="1"/>
  <c r="EI75" i="1"/>
  <c r="CS73" i="1"/>
  <c r="R73" i="1" s="1"/>
  <c r="AD73" i="1"/>
  <c r="EA75" i="1"/>
  <c r="W115" i="1"/>
  <c r="AJ106" i="1"/>
  <c r="CY70" i="1"/>
  <c r="X70" i="1" s="1"/>
  <c r="CZ70" i="1"/>
  <c r="Y70" i="1" s="1"/>
  <c r="FP106" i="1"/>
  <c r="EG115" i="1"/>
  <c r="AF115" i="1"/>
  <c r="CQ113" i="1"/>
  <c r="P113" i="1" s="1"/>
  <c r="AB113" i="1"/>
  <c r="F133" i="1"/>
  <c r="GA115" i="1"/>
  <c r="EU115" i="1"/>
  <c r="BX106" i="1"/>
  <c r="AO115" i="1"/>
  <c r="CG115" i="1"/>
  <c r="AD112" i="1"/>
  <c r="CR112" i="1" s="1"/>
  <c r="Q112" i="1" s="1"/>
  <c r="CS112" i="1"/>
  <c r="R112" i="1" s="1"/>
  <c r="CZ112" i="1" s="1"/>
  <c r="Y112" i="1" s="1"/>
  <c r="GM111" i="1"/>
  <c r="K80" i="5" s="1"/>
  <c r="J81" i="5" s="1"/>
  <c r="P81" i="5" s="1"/>
  <c r="DY115" i="1"/>
  <c r="AG115" i="1"/>
  <c r="FV66" i="1"/>
  <c r="EM75" i="1"/>
  <c r="CY73" i="1"/>
  <c r="X73" i="1" s="1"/>
  <c r="T59" i="5" s="1"/>
  <c r="K63" i="5" s="1"/>
  <c r="AB73" i="1"/>
  <c r="CR72" i="1"/>
  <c r="AB72" i="1"/>
  <c r="CQ71" i="1"/>
  <c r="P71" i="1" s="1"/>
  <c r="AB71" i="1"/>
  <c r="BY66" i="1"/>
  <c r="AP75" i="1"/>
  <c r="CI75" i="1"/>
  <c r="CX19" i="3"/>
  <c r="I72" i="1"/>
  <c r="FP66" i="1"/>
  <c r="GA75" i="1"/>
  <c r="BC75" i="1"/>
  <c r="AU75" i="1"/>
  <c r="AQ75" i="1"/>
  <c r="CQ73" i="1"/>
  <c r="P73" i="1" s="1"/>
  <c r="CS71" i="1"/>
  <c r="R71" i="1" s="1"/>
  <c r="DW75" i="1" s="1"/>
  <c r="S69" i="1"/>
  <c r="GC26" i="1"/>
  <c r="ET35" i="1"/>
  <c r="EI35" i="1"/>
  <c r="FR26" i="1"/>
  <c r="AQ35" i="1"/>
  <c r="BZ26" i="1"/>
  <c r="CS33" i="1"/>
  <c r="R33" i="1" s="1"/>
  <c r="AD33" i="1"/>
  <c r="CQ28" i="1"/>
  <c r="P28" i="1" s="1"/>
  <c r="CP28" i="1" s="1"/>
  <c r="O28" i="1" s="1"/>
  <c r="AB28" i="1"/>
  <c r="CY30" i="1"/>
  <c r="X30" i="1" s="1"/>
  <c r="CZ30" i="1"/>
  <c r="Y30" i="1" s="1"/>
  <c r="AB30" i="1"/>
  <c r="CQ29" i="1"/>
  <c r="P29" i="1" s="1"/>
  <c r="AB29" i="1"/>
  <c r="F88" i="1"/>
  <c r="CX29" i="3"/>
  <c r="CX28" i="3"/>
  <c r="CX32" i="3"/>
  <c r="CX27" i="3"/>
  <c r="CX31" i="3"/>
  <c r="CX30" i="3"/>
  <c r="AD68" i="1"/>
  <c r="CR68" i="1" s="1"/>
  <c r="Q68" i="1" s="1"/>
  <c r="CP68" i="1" s="1"/>
  <c r="O68" i="1" s="1"/>
  <c r="GX32" i="1"/>
  <c r="CJ35" i="1" s="1"/>
  <c r="DY26" i="1"/>
  <c r="DL35" i="1"/>
  <c r="EB26" i="1"/>
  <c r="DO35" i="1"/>
  <c r="FV26" i="1"/>
  <c r="EM35" i="1"/>
  <c r="FQ26" i="1"/>
  <c r="GA35" i="1"/>
  <c r="DX26" i="1"/>
  <c r="DK35" i="1"/>
  <c r="CL26" i="1"/>
  <c r="BC35" i="1"/>
  <c r="BX26" i="1"/>
  <c r="AO35" i="1"/>
  <c r="CG35" i="1"/>
  <c r="CY33" i="1"/>
  <c r="X33" i="1" s="1"/>
  <c r="T38" i="5" s="1"/>
  <c r="K42" i="5" s="1"/>
  <c r="CR32" i="1"/>
  <c r="AB32" i="1"/>
  <c r="CY28" i="1"/>
  <c r="X28" i="1" s="1"/>
  <c r="CZ28" i="1"/>
  <c r="Y28" i="1" s="1"/>
  <c r="CD26" i="1"/>
  <c r="AU35" i="1"/>
  <c r="EA35" i="1"/>
  <c r="P53" i="1"/>
  <c r="GD26" i="1"/>
  <c r="EU35" i="1"/>
  <c r="FY35" i="1"/>
  <c r="CQ31" i="1"/>
  <c r="P31" i="1" s="1"/>
  <c r="AB31" i="1"/>
  <c r="CP30" i="1"/>
  <c r="O30" i="1" s="1"/>
  <c r="CX3" i="3"/>
  <c r="I32" i="1"/>
  <c r="D14" i="6" s="1"/>
  <c r="CQ33" i="1"/>
  <c r="P33" i="1" s="1"/>
  <c r="CS31" i="1"/>
  <c r="R31" i="1" s="1"/>
  <c r="DW35" i="1" s="1"/>
  <c r="CX13" i="3"/>
  <c r="CX12" i="3"/>
  <c r="CX16" i="3"/>
  <c r="CX11" i="3"/>
  <c r="CX15" i="3"/>
  <c r="U29" i="1"/>
  <c r="Q29" i="1"/>
  <c r="G24" i="7" l="1"/>
  <c r="O20" i="8"/>
  <c r="H24" i="7" s="1"/>
  <c r="G25" i="7" s="1"/>
  <c r="AB70" i="1"/>
  <c r="DZ35" i="1"/>
  <c r="L45" i="5"/>
  <c r="Q45" i="5" s="1"/>
  <c r="L44" i="5"/>
  <c r="R60" i="5"/>
  <c r="R74" i="5"/>
  <c r="W79" i="5"/>
  <c r="G79" i="5"/>
  <c r="O79" i="5" s="1"/>
  <c r="G85" i="5" s="1"/>
  <c r="M20" i="8"/>
  <c r="F24" i="7" s="1"/>
  <c r="E25" i="7" s="1"/>
  <c r="E24" i="7"/>
  <c r="R33" i="5"/>
  <c r="W37" i="5"/>
  <c r="G37" i="5"/>
  <c r="O37" i="5" s="1"/>
  <c r="H11" i="7"/>
  <c r="G12" i="7" s="1"/>
  <c r="CC26" i="1"/>
  <c r="AT35" i="1"/>
  <c r="EL66" i="1"/>
  <c r="P93" i="1"/>
  <c r="W72" i="1"/>
  <c r="AJ75" i="1" s="1"/>
  <c r="D17" i="6"/>
  <c r="EH66" i="1"/>
  <c r="P84" i="1"/>
  <c r="R54" i="5"/>
  <c r="W58" i="5"/>
  <c r="G58" i="5"/>
  <c r="O58" i="5" s="1"/>
  <c r="Q72" i="1"/>
  <c r="AD75" i="1" s="1"/>
  <c r="GX72" i="1"/>
  <c r="CJ75" i="1" s="1"/>
  <c r="T72" i="1"/>
  <c r="AG75" i="1" s="1"/>
  <c r="CI35" i="1"/>
  <c r="V32" i="1"/>
  <c r="AI35" i="1" s="1"/>
  <c r="P39" i="1"/>
  <c r="Q32" i="1"/>
  <c r="AD35" i="1" s="1"/>
  <c r="F44" i="1"/>
  <c r="CR33" i="1"/>
  <c r="Q33" i="1" s="1"/>
  <c r="H40" i="5"/>
  <c r="W45" i="5" s="1"/>
  <c r="U72" i="1"/>
  <c r="AH75" i="1" s="1"/>
  <c r="CR73" i="1"/>
  <c r="Q73" i="1" s="1"/>
  <c r="H61" i="5"/>
  <c r="W66" i="5" s="1"/>
  <c r="ES115" i="1"/>
  <c r="P135" i="1" s="1"/>
  <c r="CY71" i="1"/>
  <c r="X71" i="1" s="1"/>
  <c r="F19" i="7"/>
  <c r="E21" i="7" s="1"/>
  <c r="D10" i="7"/>
  <c r="BB26" i="1"/>
  <c r="F48" i="1"/>
  <c r="G83" i="5"/>
  <c r="O83" i="5" s="1"/>
  <c r="Z83" i="5"/>
  <c r="G22" i="5" s="1"/>
  <c r="GB26" i="1"/>
  <c r="ES35" i="1"/>
  <c r="G81" i="5"/>
  <c r="O81" i="5" s="1"/>
  <c r="W81" i="5"/>
  <c r="E20" i="7"/>
  <c r="F11" i="7"/>
  <c r="R39" i="5"/>
  <c r="CP73" i="1"/>
  <c r="O73" i="1" s="1"/>
  <c r="ET106" i="1"/>
  <c r="P128" i="1"/>
  <c r="BY26" i="1"/>
  <c r="U32" i="1"/>
  <c r="AH35" i="1" s="1"/>
  <c r="CZ33" i="1"/>
  <c r="Y33" i="1" s="1"/>
  <c r="V38" i="5" s="1"/>
  <c r="K43" i="5" s="1"/>
  <c r="K41" i="5"/>
  <c r="CP113" i="1"/>
  <c r="O113" i="1" s="1"/>
  <c r="K82" i="5"/>
  <c r="J83" i="5" s="1"/>
  <c r="P83" i="5" s="1"/>
  <c r="BB144" i="1"/>
  <c r="F157" i="1" s="1"/>
  <c r="CZ73" i="1"/>
  <c r="Y73" i="1" s="1"/>
  <c r="V59" i="5" s="1"/>
  <c r="K64" i="5" s="1"/>
  <c r="K62" i="5"/>
  <c r="CY112" i="1"/>
  <c r="X112" i="1" s="1"/>
  <c r="AK115" i="1" s="1"/>
  <c r="H19" i="7"/>
  <c r="G21" i="7" s="1"/>
  <c r="G20" i="7"/>
  <c r="L89" i="5"/>
  <c r="L47" i="5"/>
  <c r="F10" i="7"/>
  <c r="GM68" i="1"/>
  <c r="GN68" i="1"/>
  <c r="AI26" i="1"/>
  <c r="V35" i="1"/>
  <c r="AH66" i="1"/>
  <c r="U75" i="1"/>
  <c r="AJ66" i="1"/>
  <c r="W75" i="1"/>
  <c r="AU26" i="1"/>
  <c r="F54" i="1"/>
  <c r="GA26" i="1"/>
  <c r="ER35" i="1"/>
  <c r="T115" i="1"/>
  <c r="AG106" i="1"/>
  <c r="CP112" i="1"/>
  <c r="O112" i="1" s="1"/>
  <c r="CG66" i="1"/>
  <c r="AX75" i="1"/>
  <c r="AH106" i="1"/>
  <c r="U115" i="1"/>
  <c r="DK106" i="1"/>
  <c r="P130" i="1"/>
  <c r="EL106" i="1"/>
  <c r="P133" i="1"/>
  <c r="EL144" i="1"/>
  <c r="FY26" i="1"/>
  <c r="EP35" i="1"/>
  <c r="CY69" i="1"/>
  <c r="X69" i="1" s="1"/>
  <c r="CZ69" i="1"/>
  <c r="Y69" i="1" s="1"/>
  <c r="AU66" i="1"/>
  <c r="F94" i="1"/>
  <c r="AD66" i="1"/>
  <c r="Q75" i="1"/>
  <c r="DL115" i="1"/>
  <c r="DY106" i="1"/>
  <c r="CG106" i="1"/>
  <c r="AX115" i="1"/>
  <c r="ER115" i="1"/>
  <c r="GA106" i="1"/>
  <c r="S115" i="1"/>
  <c r="AF106" i="1"/>
  <c r="F139" i="1"/>
  <c r="W106" i="1"/>
  <c r="BA75" i="1"/>
  <c r="CJ66" i="1"/>
  <c r="AB108" i="1"/>
  <c r="AB68" i="1"/>
  <c r="S72" i="1"/>
  <c r="AO66" i="1"/>
  <c r="F79" i="1"/>
  <c r="AI106" i="1"/>
  <c r="V115" i="1"/>
  <c r="EH106" i="1"/>
  <c r="P124" i="1"/>
  <c r="EH144" i="1"/>
  <c r="DY66" i="1"/>
  <c r="DL75" i="1"/>
  <c r="DL144" i="1" s="1"/>
  <c r="P125" i="1"/>
  <c r="EI106" i="1"/>
  <c r="EP106" i="1"/>
  <c r="P122" i="1"/>
  <c r="CJ106" i="1"/>
  <c r="BA115" i="1"/>
  <c r="P72" i="1"/>
  <c r="Q35" i="1"/>
  <c r="AD26" i="1"/>
  <c r="BC26" i="1"/>
  <c r="F51" i="1"/>
  <c r="BC144" i="1"/>
  <c r="DO26" i="1"/>
  <c r="P59" i="1"/>
  <c r="DO144" i="1"/>
  <c r="GM28" i="1"/>
  <c r="GN28" i="1"/>
  <c r="AP66" i="1"/>
  <c r="F84" i="1"/>
  <c r="AP144" i="1"/>
  <c r="P131" i="1"/>
  <c r="EU106" i="1"/>
  <c r="BB180" i="1"/>
  <c r="AD115" i="1"/>
  <c r="GM30" i="1"/>
  <c r="GN30" i="1"/>
  <c r="U35" i="1"/>
  <c r="AH26" i="1"/>
  <c r="CX5" i="3"/>
  <c r="CX9" i="3"/>
  <c r="CX8" i="3"/>
  <c r="CX7" i="3"/>
  <c r="CX10" i="3"/>
  <c r="CX6" i="3"/>
  <c r="P32" i="1"/>
  <c r="T32" i="1"/>
  <c r="AG35" i="1" s="1"/>
  <c r="S32" i="1"/>
  <c r="EU26" i="1"/>
  <c r="P51" i="1"/>
  <c r="EU144" i="1"/>
  <c r="R32" i="1"/>
  <c r="AE35" i="1" s="1"/>
  <c r="AO26" i="1"/>
  <c r="F39" i="1"/>
  <c r="AO144" i="1"/>
  <c r="EM26" i="1"/>
  <c r="P54" i="1"/>
  <c r="DL26" i="1"/>
  <c r="P56" i="1"/>
  <c r="EI26" i="1"/>
  <c r="P45" i="1"/>
  <c r="EI144" i="1"/>
  <c r="DJ75" i="1"/>
  <c r="DW66" i="1"/>
  <c r="BC66" i="1"/>
  <c r="F91" i="1"/>
  <c r="GM70" i="1"/>
  <c r="GN70" i="1"/>
  <c r="EM66" i="1"/>
  <c r="P94" i="1"/>
  <c r="AO106" i="1"/>
  <c r="F119" i="1"/>
  <c r="P119" i="1"/>
  <c r="EG106" i="1"/>
  <c r="EU66" i="1"/>
  <c r="P91" i="1"/>
  <c r="AC115" i="1"/>
  <c r="CP108" i="1"/>
  <c r="O108" i="1" s="1"/>
  <c r="CY113" i="1"/>
  <c r="X113" i="1" s="1"/>
  <c r="DV106" i="1"/>
  <c r="DI115" i="1"/>
  <c r="FY66" i="1"/>
  <c r="EP75" i="1"/>
  <c r="CI106" i="1"/>
  <c r="AZ115" i="1"/>
  <c r="ES66" i="1"/>
  <c r="P95" i="1"/>
  <c r="DK75" i="1"/>
  <c r="DK144" i="1" s="1"/>
  <c r="DX66" i="1"/>
  <c r="P137" i="1"/>
  <c r="DM106" i="1"/>
  <c r="DW26" i="1"/>
  <c r="DJ35" i="1"/>
  <c r="CJ26" i="1"/>
  <c r="BA35" i="1"/>
  <c r="AQ26" i="1"/>
  <c r="F45" i="1"/>
  <c r="AQ144" i="1"/>
  <c r="AQ66" i="1"/>
  <c r="F85" i="1"/>
  <c r="GP113" i="1"/>
  <c r="FV115" i="1" s="1"/>
  <c r="EA66" i="1"/>
  <c r="DN75" i="1"/>
  <c r="EI66" i="1"/>
  <c r="P85" i="1"/>
  <c r="DU115" i="1"/>
  <c r="CP109" i="1"/>
  <c r="O109" i="1" s="1"/>
  <c r="EA106" i="1"/>
  <c r="DN115" i="1"/>
  <c r="DU35" i="1"/>
  <c r="CP31" i="1"/>
  <c r="O31" i="1" s="1"/>
  <c r="CZ31" i="1"/>
  <c r="Y31" i="1" s="1"/>
  <c r="CG26" i="1"/>
  <c r="AX35" i="1"/>
  <c r="CI26" i="1"/>
  <c r="AZ35" i="1"/>
  <c r="EA26" i="1"/>
  <c r="DN35" i="1"/>
  <c r="CY31" i="1"/>
  <c r="X31" i="1" s="1"/>
  <c r="DK26" i="1"/>
  <c r="P50" i="1"/>
  <c r="W32" i="1"/>
  <c r="AJ35" i="1" s="1"/>
  <c r="AB33" i="1"/>
  <c r="CP29" i="1"/>
  <c r="O29" i="1" s="1"/>
  <c r="ET26" i="1"/>
  <c r="P48" i="1"/>
  <c r="ET144" i="1"/>
  <c r="GA66" i="1"/>
  <c r="ER75" i="1"/>
  <c r="CX21" i="3"/>
  <c r="CX25" i="3"/>
  <c r="CX24" i="3"/>
  <c r="CX23" i="3"/>
  <c r="CX26" i="3"/>
  <c r="CX22" i="3"/>
  <c r="CI66" i="1"/>
  <c r="AZ75" i="1"/>
  <c r="DU75" i="1"/>
  <c r="CP71" i="1"/>
  <c r="O71" i="1" s="1"/>
  <c r="R72" i="1"/>
  <c r="AE75" i="1" s="1"/>
  <c r="AB112" i="1"/>
  <c r="AT66" i="1"/>
  <c r="F93" i="1"/>
  <c r="AT144" i="1"/>
  <c r="V72" i="1"/>
  <c r="AI75" i="1" s="1"/>
  <c r="AE115" i="1"/>
  <c r="CZ108" i="1"/>
  <c r="Y108" i="1" s="1"/>
  <c r="AL115" i="1" s="1"/>
  <c r="DW115" i="1"/>
  <c r="CZ109" i="1"/>
  <c r="Y109" i="1" s="1"/>
  <c r="F131" i="1"/>
  <c r="BC106" i="1"/>
  <c r="DO66" i="1"/>
  <c r="P99" i="1"/>
  <c r="EG66" i="1"/>
  <c r="P79" i="1"/>
  <c r="EG144" i="1"/>
  <c r="DZ66" i="1"/>
  <c r="DM75" i="1"/>
  <c r="F125" i="1"/>
  <c r="AQ106" i="1"/>
  <c r="ES106" i="1"/>
  <c r="P139" i="1"/>
  <c r="DO106" i="1"/>
  <c r="CZ71" i="1"/>
  <c r="Y71" i="1" s="1"/>
  <c r="E12" i="7" l="1"/>
  <c r="BB22" i="1"/>
  <c r="AK106" i="1"/>
  <c r="X115" i="1"/>
  <c r="G45" i="5"/>
  <c r="O45" i="5" s="1"/>
  <c r="G89" i="5" s="1"/>
  <c r="DV35" i="1"/>
  <c r="K40" i="5"/>
  <c r="J45" i="5" s="1"/>
  <c r="P45" i="5" s="1"/>
  <c r="AT26" i="1"/>
  <c r="F53" i="1"/>
  <c r="G18" i="5"/>
  <c r="G47" i="5"/>
  <c r="G66" i="5"/>
  <c r="O66" i="5" s="1"/>
  <c r="EC35" i="1"/>
  <c r="T31" i="5"/>
  <c r="K34" i="5" s="1"/>
  <c r="DM35" i="1"/>
  <c r="DZ26" i="1"/>
  <c r="GN73" i="1"/>
  <c r="ES144" i="1"/>
  <c r="EC115" i="1"/>
  <c r="T82" i="5"/>
  <c r="GM69" i="1"/>
  <c r="DV75" i="1"/>
  <c r="K61" i="5"/>
  <c r="J66" i="5" s="1"/>
  <c r="P66" i="5" s="1"/>
  <c r="G19" i="5"/>
  <c r="G24" i="5"/>
  <c r="ED75" i="1"/>
  <c r="V52" i="5"/>
  <c r="K56" i="5" s="1"/>
  <c r="ED115" i="1"/>
  <c r="V73" i="5"/>
  <c r="K77" i="5" s="1"/>
  <c r="J79" i="5" s="1"/>
  <c r="P79" i="5" s="1"/>
  <c r="J85" i="5" s="1"/>
  <c r="GM73" i="1"/>
  <c r="ED35" i="1"/>
  <c r="V31" i="5"/>
  <c r="K35" i="5" s="1"/>
  <c r="ES26" i="1"/>
  <c r="P55" i="1"/>
  <c r="EC75" i="1"/>
  <c r="T52" i="5"/>
  <c r="K55" i="5" s="1"/>
  <c r="J58" i="5" s="1"/>
  <c r="P58" i="5" s="1"/>
  <c r="J68" i="5" s="1"/>
  <c r="CP33" i="1"/>
  <c r="O33" i="1" s="1"/>
  <c r="G68" i="5"/>
  <c r="DK22" i="1"/>
  <c r="P159" i="1"/>
  <c r="DK180" i="1"/>
  <c r="EC106" i="1"/>
  <c r="DP115" i="1"/>
  <c r="AE66" i="1"/>
  <c r="R75" i="1"/>
  <c r="AJ26" i="1"/>
  <c r="W35" i="1"/>
  <c r="GM31" i="1"/>
  <c r="GN31" i="1"/>
  <c r="DT35" i="1"/>
  <c r="AQ22" i="1"/>
  <c r="F154" i="1"/>
  <c r="AQ180" i="1"/>
  <c r="AP22" i="1"/>
  <c r="AP180" i="1"/>
  <c r="F153" i="1"/>
  <c r="BC22" i="1"/>
  <c r="F160" i="1"/>
  <c r="BC180" i="1"/>
  <c r="Q26" i="1"/>
  <c r="F47" i="1"/>
  <c r="DL66" i="1"/>
  <c r="P96" i="1"/>
  <c r="ER106" i="1"/>
  <c r="P126" i="1"/>
  <c r="DL106" i="1"/>
  <c r="P136" i="1"/>
  <c r="U106" i="1"/>
  <c r="F137" i="1"/>
  <c r="GM112" i="1"/>
  <c r="GP112" i="1"/>
  <c r="CD115" i="1" s="1"/>
  <c r="T106" i="1"/>
  <c r="F136" i="1"/>
  <c r="W66" i="1"/>
  <c r="F99" i="1"/>
  <c r="F58" i="1"/>
  <c r="V26" i="1"/>
  <c r="ED66" i="1"/>
  <c r="DQ75" i="1"/>
  <c r="ED106" i="1"/>
  <c r="DQ115" i="1"/>
  <c r="AI66" i="1"/>
  <c r="V75" i="1"/>
  <c r="V144" i="1" s="1"/>
  <c r="GM71" i="1"/>
  <c r="FS75" i="1" s="1"/>
  <c r="GN71" i="1"/>
  <c r="FT75" i="1" s="1"/>
  <c r="DT75" i="1"/>
  <c r="DN26" i="1"/>
  <c r="P58" i="1"/>
  <c r="DN144" i="1"/>
  <c r="AX26" i="1"/>
  <c r="F42" i="1"/>
  <c r="AX144" i="1"/>
  <c r="DU26" i="1"/>
  <c r="FW35" i="1"/>
  <c r="FZ35" i="1"/>
  <c r="FX35" i="1"/>
  <c r="DH35" i="1"/>
  <c r="GM113" i="1"/>
  <c r="DJ26" i="1"/>
  <c r="P49" i="1"/>
  <c r="DI106" i="1"/>
  <c r="P127" i="1"/>
  <c r="GM108" i="1"/>
  <c r="GN108" i="1"/>
  <c r="CB115" i="1" s="1"/>
  <c r="AB115" i="1"/>
  <c r="AE26" i="1"/>
  <c r="R35" i="1"/>
  <c r="CZ32" i="1"/>
  <c r="Y32" i="1" s="1"/>
  <c r="AL35" i="1" s="1"/>
  <c r="CY32" i="1"/>
  <c r="X32" i="1" s="1"/>
  <c r="AK35" i="1" s="1"/>
  <c r="AF35" i="1"/>
  <c r="DO22" i="1"/>
  <c r="P168" i="1"/>
  <c r="DO180" i="1"/>
  <c r="CP72" i="1"/>
  <c r="O72" i="1" s="1"/>
  <c r="AC75" i="1"/>
  <c r="V106" i="1"/>
  <c r="F138" i="1"/>
  <c r="CZ72" i="1"/>
  <c r="Y72" i="1" s="1"/>
  <c r="AL75" i="1" s="1"/>
  <c r="CY72" i="1"/>
  <c r="X72" i="1" s="1"/>
  <c r="AK75" i="1" s="1"/>
  <c r="AF75" i="1"/>
  <c r="BA66" i="1"/>
  <c r="F95" i="1"/>
  <c r="AX106" i="1"/>
  <c r="F122" i="1"/>
  <c r="Q66" i="1"/>
  <c r="F87" i="1"/>
  <c r="EP26" i="1"/>
  <c r="P42" i="1"/>
  <c r="EP144" i="1"/>
  <c r="X106" i="1"/>
  <c r="F140" i="1"/>
  <c r="ER26" i="1"/>
  <c r="P46" i="1"/>
  <c r="ER144" i="1"/>
  <c r="DM66" i="1"/>
  <c r="P97" i="1"/>
  <c r="FV106" i="1"/>
  <c r="EM115" i="1"/>
  <c r="EP66" i="1"/>
  <c r="P82" i="1"/>
  <c r="DL22" i="1"/>
  <c r="P165" i="1"/>
  <c r="DL180" i="1"/>
  <c r="U26" i="1"/>
  <c r="F57" i="1"/>
  <c r="U144" i="1"/>
  <c r="DW106" i="1"/>
  <c r="DJ115" i="1"/>
  <c r="GM29" i="1"/>
  <c r="GN29" i="1"/>
  <c r="DN66" i="1"/>
  <c r="P98" i="1"/>
  <c r="DK66" i="1"/>
  <c r="P90" i="1"/>
  <c r="CE115" i="1"/>
  <c r="CH115" i="1"/>
  <c r="AC106" i="1"/>
  <c r="P115" i="1"/>
  <c r="CF115" i="1"/>
  <c r="AO22" i="1"/>
  <c r="F148" i="1"/>
  <c r="AO180" i="1"/>
  <c r="EU22" i="1"/>
  <c r="P160" i="1"/>
  <c r="EU180" i="1"/>
  <c r="AG26" i="1"/>
  <c r="T35" i="1"/>
  <c r="AD106" i="1"/>
  <c r="Q115" i="1"/>
  <c r="F135" i="1"/>
  <c r="BA106" i="1"/>
  <c r="EH22" i="1"/>
  <c r="P153" i="1"/>
  <c r="I21" i="5" s="1"/>
  <c r="EH180" i="1"/>
  <c r="S106" i="1"/>
  <c r="F130" i="1"/>
  <c r="AX66" i="1"/>
  <c r="F82" i="1"/>
  <c r="GN69" i="1"/>
  <c r="U66" i="1"/>
  <c r="F97" i="1"/>
  <c r="R115" i="1"/>
  <c r="AE106" i="1"/>
  <c r="EC26" i="1"/>
  <c r="DP35" i="1"/>
  <c r="DN106" i="1"/>
  <c r="P138" i="1"/>
  <c r="EI22" i="1"/>
  <c r="P154" i="1"/>
  <c r="EI180" i="1"/>
  <c r="BB18" i="1"/>
  <c r="F193" i="1"/>
  <c r="EG22" i="1"/>
  <c r="EG180" i="1"/>
  <c r="P148" i="1"/>
  <c r="AT22" i="1"/>
  <c r="AT180" i="1"/>
  <c r="F162" i="1"/>
  <c r="U16" i="2" s="1"/>
  <c r="U18" i="2" s="1"/>
  <c r="DU66" i="1"/>
  <c r="FW75" i="1"/>
  <c r="FX75" i="1"/>
  <c r="DH75" i="1"/>
  <c r="FZ75" i="1"/>
  <c r="GM109" i="1"/>
  <c r="FS115" i="1" s="1"/>
  <c r="GN109" i="1"/>
  <c r="FT115" i="1" s="1"/>
  <c r="DT115" i="1"/>
  <c r="AZ106" i="1"/>
  <c r="F126" i="1"/>
  <c r="DM144" i="1"/>
  <c r="AL106" i="1"/>
  <c r="Y115" i="1"/>
  <c r="F86" i="1"/>
  <c r="AZ66" i="1"/>
  <c r="ER66" i="1"/>
  <c r="P86" i="1"/>
  <c r="ET22" i="1"/>
  <c r="P157" i="1"/>
  <c r="ET180" i="1"/>
  <c r="AZ26" i="1"/>
  <c r="F46" i="1"/>
  <c r="AZ144" i="1"/>
  <c r="DQ35" i="1"/>
  <c r="ED26" i="1"/>
  <c r="FW115" i="1"/>
  <c r="FX115" i="1"/>
  <c r="DU106" i="1"/>
  <c r="FZ115" i="1"/>
  <c r="DH115" i="1"/>
  <c r="BA26" i="1"/>
  <c r="F55" i="1"/>
  <c r="BA144" i="1"/>
  <c r="ES22" i="1"/>
  <c r="ES180" i="1"/>
  <c r="P164" i="1"/>
  <c r="AG66" i="1"/>
  <c r="T75" i="1"/>
  <c r="DJ66" i="1"/>
  <c r="P89" i="1"/>
  <c r="CP32" i="1"/>
  <c r="O32" i="1" s="1"/>
  <c r="AC35" i="1"/>
  <c r="EL22" i="1"/>
  <c r="P162" i="1"/>
  <c r="EL180" i="1"/>
  <c r="GM33" i="1" l="1"/>
  <c r="GN33" i="1"/>
  <c r="FT35" i="1" s="1"/>
  <c r="DV26" i="1"/>
  <c r="DI35" i="1"/>
  <c r="F16" i="2"/>
  <c r="F18" i="2" s="1"/>
  <c r="I20" i="5"/>
  <c r="FS35" i="1"/>
  <c r="FS26" i="1" s="1"/>
  <c r="J16" i="2"/>
  <c r="J18" i="2" s="1"/>
  <c r="EC66" i="1"/>
  <c r="DP75" i="1"/>
  <c r="DM26" i="1"/>
  <c r="P57" i="1"/>
  <c r="DI75" i="1"/>
  <c r="DV66" i="1"/>
  <c r="J37" i="5"/>
  <c r="P37" i="5" s="1"/>
  <c r="EL18" i="1"/>
  <c r="P198" i="1"/>
  <c r="GN32" i="1"/>
  <c r="CB35" i="1" s="1"/>
  <c r="GM32" i="1"/>
  <c r="CA35" i="1" s="1"/>
  <c r="AB35" i="1"/>
  <c r="DH106" i="1"/>
  <c r="P118" i="1"/>
  <c r="EN115" i="1"/>
  <c r="FW106" i="1"/>
  <c r="FW66" i="1"/>
  <c r="EN75" i="1"/>
  <c r="DJ106" i="1"/>
  <c r="P129" i="1"/>
  <c r="DQ26" i="1"/>
  <c r="P61" i="1"/>
  <c r="DQ144" i="1"/>
  <c r="ET18" i="1"/>
  <c r="P193" i="1"/>
  <c r="DG115" i="1"/>
  <c r="DT106" i="1"/>
  <c r="DH66" i="1"/>
  <c r="P78" i="1"/>
  <c r="EG18" i="1"/>
  <c r="P184" i="1"/>
  <c r="EI18" i="1"/>
  <c r="P190" i="1"/>
  <c r="R106" i="1"/>
  <c r="F129" i="1"/>
  <c r="EH18" i="1"/>
  <c r="P189" i="1"/>
  <c r="P209" i="1" s="1"/>
  <c r="AO18" i="1"/>
  <c r="F184" i="1"/>
  <c r="P106" i="1"/>
  <c r="F118" i="1"/>
  <c r="U22" i="1"/>
  <c r="F166" i="1"/>
  <c r="U180" i="1"/>
  <c r="EM106" i="1"/>
  <c r="P134" i="1"/>
  <c r="EM144" i="1"/>
  <c r="ER22" i="1"/>
  <c r="P155" i="1"/>
  <c r="ER180" i="1"/>
  <c r="AL66" i="1"/>
  <c r="Y75" i="1"/>
  <c r="GN72" i="1"/>
  <c r="CB75" i="1" s="1"/>
  <c r="GM72" i="1"/>
  <c r="CA75" i="1" s="1"/>
  <c r="AB75" i="1"/>
  <c r="R26" i="1"/>
  <c r="F49" i="1"/>
  <c r="R144" i="1"/>
  <c r="EQ35" i="1"/>
  <c r="FZ26" i="1"/>
  <c r="V66" i="1"/>
  <c r="F98" i="1"/>
  <c r="DQ66" i="1"/>
  <c r="P101" i="1"/>
  <c r="V16" i="2"/>
  <c r="V18" i="2" s="1"/>
  <c r="F173" i="1"/>
  <c r="DT26" i="1"/>
  <c r="DG35" i="1"/>
  <c r="AC26" i="1"/>
  <c r="CE35" i="1"/>
  <c r="CF35" i="1"/>
  <c r="CH35" i="1"/>
  <c r="P35" i="1"/>
  <c r="ES18" i="1"/>
  <c r="P200" i="1"/>
  <c r="FX106" i="1"/>
  <c r="EO115" i="1"/>
  <c r="AZ22" i="1"/>
  <c r="AZ180" i="1"/>
  <c r="F155" i="1"/>
  <c r="DM22" i="1"/>
  <c r="DM180" i="1"/>
  <c r="P166" i="1"/>
  <c r="FT106" i="1"/>
  <c r="EK115" i="1"/>
  <c r="EO75" i="1"/>
  <c r="FX66" i="1"/>
  <c r="AT18" i="1"/>
  <c r="F198" i="1"/>
  <c r="DP26" i="1"/>
  <c r="P60" i="1"/>
  <c r="P173" i="1"/>
  <c r="G16" i="2"/>
  <c r="G18" i="2" s="1"/>
  <c r="F127" i="1"/>
  <c r="Q106" i="1"/>
  <c r="EU18" i="1"/>
  <c r="P196" i="1"/>
  <c r="EP22" i="1"/>
  <c r="P151" i="1"/>
  <c r="EP180" i="1"/>
  <c r="DO18" i="1"/>
  <c r="P204" i="1"/>
  <c r="AF26" i="1"/>
  <c r="S35" i="1"/>
  <c r="O115" i="1"/>
  <c r="AB106" i="1"/>
  <c r="FW26" i="1"/>
  <c r="EN35" i="1"/>
  <c r="DT66" i="1"/>
  <c r="DG75" i="1"/>
  <c r="CD106" i="1"/>
  <c r="AU115" i="1"/>
  <c r="BC18" i="1"/>
  <c r="F196" i="1"/>
  <c r="AP18" i="1"/>
  <c r="F189" i="1"/>
  <c r="F209" i="1" s="1"/>
  <c r="AQ18" i="1"/>
  <c r="F190" i="1"/>
  <c r="R66" i="1"/>
  <c r="F89" i="1"/>
  <c r="DK18" i="1"/>
  <c r="P195" i="1"/>
  <c r="T66" i="1"/>
  <c r="F96" i="1"/>
  <c r="CH106" i="1"/>
  <c r="AY115" i="1"/>
  <c r="AF66" i="1"/>
  <c r="S75" i="1"/>
  <c r="CB106" i="1"/>
  <c r="AS115" i="1"/>
  <c r="DJ144" i="1"/>
  <c r="DH26" i="1"/>
  <c r="P38" i="1"/>
  <c r="DH144" i="1"/>
  <c r="EK75" i="1"/>
  <c r="FT66" i="1"/>
  <c r="DQ106" i="1"/>
  <c r="P141" i="1"/>
  <c r="V22" i="1"/>
  <c r="F167" i="1"/>
  <c r="V180" i="1"/>
  <c r="Q144" i="1"/>
  <c r="EJ35" i="1"/>
  <c r="FS106" i="1"/>
  <c r="EJ115" i="1"/>
  <c r="AK26" i="1"/>
  <c r="X35" i="1"/>
  <c r="DN22" i="1"/>
  <c r="P167" i="1"/>
  <c r="DN180" i="1"/>
  <c r="BA22" i="1"/>
  <c r="F164" i="1"/>
  <c r="BA180" i="1"/>
  <c r="FZ106" i="1"/>
  <c r="EQ115" i="1"/>
  <c r="F141" i="1"/>
  <c r="Y106" i="1"/>
  <c r="FZ66" i="1"/>
  <c r="EQ75" i="1"/>
  <c r="T26" i="1"/>
  <c r="F56" i="1"/>
  <c r="T144" i="1"/>
  <c r="CF106" i="1"/>
  <c r="AW115" i="1"/>
  <c r="AV115" i="1"/>
  <c r="CE106" i="1"/>
  <c r="DL18" i="1"/>
  <c r="P201" i="1"/>
  <c r="AK66" i="1"/>
  <c r="X75" i="1"/>
  <c r="AC66" i="1"/>
  <c r="CH75" i="1"/>
  <c r="CE75" i="1"/>
  <c r="P75" i="1"/>
  <c r="CF75" i="1"/>
  <c r="AL26" i="1"/>
  <c r="Y35" i="1"/>
  <c r="CA115" i="1"/>
  <c r="FX26" i="1"/>
  <c r="EO35" i="1"/>
  <c r="AX22" i="1"/>
  <c r="AX180" i="1"/>
  <c r="F151" i="1"/>
  <c r="FS66" i="1"/>
  <c r="EJ75" i="1"/>
  <c r="W26" i="1"/>
  <c r="F59" i="1"/>
  <c r="W144" i="1"/>
  <c r="DP106" i="1"/>
  <c r="P140" i="1"/>
  <c r="FT26" i="1" l="1"/>
  <c r="EK35" i="1"/>
  <c r="DP66" i="1"/>
  <c r="P100" i="1"/>
  <c r="DI66" i="1"/>
  <c r="P87" i="1"/>
  <c r="DP144" i="1"/>
  <c r="I23" i="5"/>
  <c r="G23" i="5" s="1"/>
  <c r="J47" i="5"/>
  <c r="J89" i="5"/>
  <c r="P47" i="1"/>
  <c r="DI144" i="1"/>
  <c r="DI26" i="1"/>
  <c r="P123" i="1"/>
  <c r="EQ106" i="1"/>
  <c r="DM18" i="1"/>
  <c r="P202" i="1"/>
  <c r="W22" i="1"/>
  <c r="W180" i="1"/>
  <c r="F168" i="1"/>
  <c r="EO26" i="1"/>
  <c r="P41" i="1"/>
  <c r="EO144" i="1"/>
  <c r="CH66" i="1"/>
  <c r="AY75" i="1"/>
  <c r="AW106" i="1"/>
  <c r="F121" i="1"/>
  <c r="S66" i="1"/>
  <c r="F90" i="1"/>
  <c r="DG66" i="1"/>
  <c r="P77" i="1"/>
  <c r="AZ18" i="1"/>
  <c r="F191" i="1"/>
  <c r="CF26" i="1"/>
  <c r="AW35" i="1"/>
  <c r="EQ26" i="1"/>
  <c r="P43" i="1"/>
  <c r="EQ144" i="1"/>
  <c r="AB66" i="1"/>
  <c r="O75" i="1"/>
  <c r="EM22" i="1"/>
  <c r="P163" i="1"/>
  <c r="I22" i="5" s="1"/>
  <c r="EM180" i="1"/>
  <c r="DQ22" i="1"/>
  <c r="DQ180" i="1"/>
  <c r="P170" i="1"/>
  <c r="EN106" i="1"/>
  <c r="P120" i="1"/>
  <c r="CA26" i="1"/>
  <c r="AR35" i="1"/>
  <c r="DJ22" i="1"/>
  <c r="DJ180" i="1"/>
  <c r="P158" i="1"/>
  <c r="I24" i="5" s="1"/>
  <c r="EO66" i="1"/>
  <c r="P81" i="1"/>
  <c r="CE26" i="1"/>
  <c r="AV35" i="1"/>
  <c r="R22" i="1"/>
  <c r="F158" i="1"/>
  <c r="R180" i="1"/>
  <c r="ER18" i="1"/>
  <c r="P191" i="1"/>
  <c r="P117" i="1"/>
  <c r="DG106" i="1"/>
  <c r="P80" i="1"/>
  <c r="EN66" i="1"/>
  <c r="CB26" i="1"/>
  <c r="AS35" i="1"/>
  <c r="X26" i="1"/>
  <c r="F60" i="1"/>
  <c r="X144" i="1"/>
  <c r="EK66" i="1"/>
  <c r="P92" i="1"/>
  <c r="CA66" i="1"/>
  <c r="AR75" i="1"/>
  <c r="CA106" i="1"/>
  <c r="AR115" i="1"/>
  <c r="F100" i="1"/>
  <c r="X66" i="1"/>
  <c r="DN18" i="1"/>
  <c r="P203" i="1"/>
  <c r="DH22" i="1"/>
  <c r="P147" i="1"/>
  <c r="DH180" i="1"/>
  <c r="AS106" i="1"/>
  <c r="F132" i="1"/>
  <c r="F123" i="1"/>
  <c r="AY106" i="1"/>
  <c r="EK26" i="1"/>
  <c r="P52" i="1"/>
  <c r="EK144" i="1"/>
  <c r="AU106" i="1"/>
  <c r="F134" i="1"/>
  <c r="AU144" i="1"/>
  <c r="EN26" i="1"/>
  <c r="P40" i="1"/>
  <c r="EN144" i="1"/>
  <c r="S26" i="1"/>
  <c r="F50" i="1"/>
  <c r="S144" i="1"/>
  <c r="EP18" i="1"/>
  <c r="P187" i="1"/>
  <c r="EK106" i="1"/>
  <c r="P132" i="1"/>
  <c r="P121" i="1"/>
  <c r="EO106" i="1"/>
  <c r="P26" i="1"/>
  <c r="F38" i="1"/>
  <c r="P144" i="1"/>
  <c r="AS75" i="1"/>
  <c r="CB66" i="1"/>
  <c r="AW75" i="1"/>
  <c r="CF66" i="1"/>
  <c r="EQ66" i="1"/>
  <c r="P83" i="1"/>
  <c r="EJ26" i="1"/>
  <c r="P62" i="1"/>
  <c r="EJ144" i="1"/>
  <c r="F117" i="1"/>
  <c r="O106" i="1"/>
  <c r="AX18" i="1"/>
  <c r="F187" i="1"/>
  <c r="F78" i="1"/>
  <c r="P66" i="1"/>
  <c r="T22" i="1"/>
  <c r="T180" i="1"/>
  <c r="F165" i="1"/>
  <c r="EJ66" i="1"/>
  <c r="P102" i="1"/>
  <c r="Y26" i="1"/>
  <c r="F61" i="1"/>
  <c r="Y144" i="1"/>
  <c r="CE66" i="1"/>
  <c r="AV75" i="1"/>
  <c r="AV106" i="1"/>
  <c r="F120" i="1"/>
  <c r="BA18" i="1"/>
  <c r="F200" i="1"/>
  <c r="EJ106" i="1"/>
  <c r="P142" i="1"/>
  <c r="Q22" i="1"/>
  <c r="F156" i="1"/>
  <c r="Q180" i="1"/>
  <c r="V18" i="1"/>
  <c r="F203" i="1"/>
  <c r="DP22" i="1"/>
  <c r="P169" i="1"/>
  <c r="DP180" i="1"/>
  <c r="CH26" i="1"/>
  <c r="AY35" i="1"/>
  <c r="DG26" i="1"/>
  <c r="P37" i="1"/>
  <c r="DG144" i="1"/>
  <c r="Y66" i="1"/>
  <c r="F101" i="1"/>
  <c r="U18" i="1"/>
  <c r="F202" i="1"/>
  <c r="AB26" i="1"/>
  <c r="O35" i="1"/>
  <c r="P156" i="1" l="1"/>
  <c r="DI22" i="1"/>
  <c r="DI180" i="1"/>
  <c r="O26" i="1"/>
  <c r="F37" i="1"/>
  <c r="O144" i="1"/>
  <c r="Q18" i="1"/>
  <c r="F192" i="1"/>
  <c r="EK22" i="1"/>
  <c r="P161" i="1"/>
  <c r="EK180" i="1"/>
  <c r="F102" i="1"/>
  <c r="AR66" i="1"/>
  <c r="X22" i="1"/>
  <c r="X180" i="1"/>
  <c r="F169" i="1"/>
  <c r="EM18" i="1"/>
  <c r="P199" i="1"/>
  <c r="P210" i="1" s="1"/>
  <c r="AW26" i="1"/>
  <c r="F41" i="1"/>
  <c r="AW144" i="1"/>
  <c r="EO22" i="1"/>
  <c r="EO180" i="1"/>
  <c r="P150" i="1"/>
  <c r="W18" i="1"/>
  <c r="F204" i="1"/>
  <c r="F80" i="1"/>
  <c r="AV66" i="1"/>
  <c r="T18" i="1"/>
  <c r="F201" i="1"/>
  <c r="AU22" i="1"/>
  <c r="AU180" i="1"/>
  <c r="F163" i="1"/>
  <c r="AR26" i="1"/>
  <c r="F62" i="1"/>
  <c r="AR144" i="1"/>
  <c r="P174" i="1"/>
  <c r="H16" i="2"/>
  <c r="H18" i="2" s="1"/>
  <c r="EQ22" i="1"/>
  <c r="P152" i="1"/>
  <c r="EQ180" i="1"/>
  <c r="AY26" i="1"/>
  <c r="F43" i="1"/>
  <c r="AY144" i="1"/>
  <c r="AS66" i="1"/>
  <c r="F92" i="1"/>
  <c r="DG22" i="1"/>
  <c r="P146" i="1"/>
  <c r="DG180" i="1"/>
  <c r="P22" i="1"/>
  <c r="P180" i="1"/>
  <c r="F147" i="1"/>
  <c r="EN22" i="1"/>
  <c r="P149" i="1"/>
  <c r="EN180" i="1"/>
  <c r="AR106" i="1"/>
  <c r="F142" i="1"/>
  <c r="AV26" i="1"/>
  <c r="F40" i="1"/>
  <c r="AV144" i="1"/>
  <c r="DQ18" i="1"/>
  <c r="P206" i="1"/>
  <c r="AY66" i="1"/>
  <c r="F83" i="1"/>
  <c r="EJ22" i="1"/>
  <c r="P171" i="1"/>
  <c r="EJ180" i="1"/>
  <c r="DP18" i="1"/>
  <c r="P205" i="1"/>
  <c r="Y22" i="1"/>
  <c r="F170" i="1"/>
  <c r="Y180" i="1"/>
  <c r="AW66" i="1"/>
  <c r="F81" i="1"/>
  <c r="S22" i="1"/>
  <c r="S180" i="1"/>
  <c r="F159" i="1"/>
  <c r="Y16" i="2" s="1"/>
  <c r="Y18" i="2" s="1"/>
  <c r="DH18" i="1"/>
  <c r="P183" i="1"/>
  <c r="AS26" i="1"/>
  <c r="F52" i="1"/>
  <c r="AS144" i="1"/>
  <c r="R18" i="1"/>
  <c r="F194" i="1"/>
  <c r="DJ18" i="1"/>
  <c r="P194" i="1"/>
  <c r="O66" i="1"/>
  <c r="F77" i="1"/>
  <c r="P192" i="1" l="1"/>
  <c r="DI18" i="1"/>
  <c r="P172" i="1"/>
  <c r="J92" i="5" s="1"/>
  <c r="I18" i="5"/>
  <c r="E16" i="2"/>
  <c r="I19" i="5"/>
  <c r="Y18" i="1"/>
  <c r="F206" i="1"/>
  <c r="EJ18" i="1"/>
  <c r="P207" i="1"/>
  <c r="P208" i="1" s="1"/>
  <c r="P211" i="1" s="1"/>
  <c r="EN18" i="1"/>
  <c r="P185" i="1"/>
  <c r="P18" i="1"/>
  <c r="F183" i="1"/>
  <c r="EO18" i="1"/>
  <c r="P186" i="1"/>
  <c r="X18" i="1"/>
  <c r="F205" i="1"/>
  <c r="EK18" i="1"/>
  <c r="P197" i="1"/>
  <c r="AS22" i="1"/>
  <c r="AS180" i="1"/>
  <c r="F161" i="1"/>
  <c r="T16" i="2" s="1"/>
  <c r="I16" i="2"/>
  <c r="I18" i="2" s="1"/>
  <c r="E18" i="2"/>
  <c r="O22" i="1"/>
  <c r="O180" i="1"/>
  <c r="F146" i="1"/>
  <c r="DG18" i="1"/>
  <c r="P182" i="1"/>
  <c r="EQ18" i="1"/>
  <c r="P188" i="1"/>
  <c r="F174" i="1"/>
  <c r="W16" i="2"/>
  <c r="W18" i="2" s="1"/>
  <c r="AW22" i="1"/>
  <c r="F150" i="1"/>
  <c r="AW180" i="1"/>
  <c r="P175" i="1"/>
  <c r="S18" i="1"/>
  <c r="F195" i="1"/>
  <c r="AV22" i="1"/>
  <c r="AV180" i="1"/>
  <c r="F149" i="1"/>
  <c r="AY22" i="1"/>
  <c r="AY180" i="1"/>
  <c r="F152" i="1"/>
  <c r="AR22" i="1"/>
  <c r="AR180" i="1"/>
  <c r="F171" i="1"/>
  <c r="F172" i="1" s="1"/>
  <c r="AU18" i="1"/>
  <c r="F199" i="1"/>
  <c r="F210" i="1" s="1"/>
  <c r="P176" i="1" l="1"/>
  <c r="J94" i="5" s="1"/>
  <c r="J93" i="5"/>
  <c r="P177" i="1"/>
  <c r="F176" i="1"/>
  <c r="F175" i="1"/>
  <c r="AY18" i="1"/>
  <c r="F188" i="1"/>
  <c r="AS18" i="1"/>
  <c r="F197" i="1"/>
  <c r="P212" i="1"/>
  <c r="P213" i="1" s="1"/>
  <c r="AW18" i="1"/>
  <c r="F186" i="1"/>
  <c r="AR18" i="1"/>
  <c r="F207" i="1"/>
  <c r="F208" i="1" s="1"/>
  <c r="F211" i="1" s="1"/>
  <c r="AV18" i="1"/>
  <c r="F185" i="1"/>
  <c r="O18" i="1"/>
  <c r="F182" i="1"/>
  <c r="X16" i="2"/>
  <c r="X18" i="2" s="1"/>
  <c r="T18" i="2"/>
  <c r="P178" i="1" l="1"/>
  <c r="J96" i="5" s="1"/>
  <c r="J95" i="5"/>
  <c r="F212" i="1"/>
  <c r="F213" i="1" s="1"/>
  <c r="F177" i="1"/>
  <c r="F178" i="1" s="1"/>
</calcChain>
</file>

<file path=xl/sharedStrings.xml><?xml version="1.0" encoding="utf-8"?>
<sst xmlns="http://schemas.openxmlformats.org/spreadsheetml/2006/main" count="2130" uniqueCount="321">
  <si>
    <t>Smeta.RU Flash  (495) 974-1589</t>
  </si>
  <si>
    <t>_PS_</t>
  </si>
  <si>
    <t>Smeta.RU Flash</t>
  </si>
  <si>
    <t/>
  </si>
  <si>
    <t>Новая стройка 1</t>
  </si>
  <si>
    <t>Реконструкция (в режиме реставрации с приспособлением к современному использованию) ФГБУ "Детский медицинский центр" УДП РФ  по адресу: г. Москва, Старопанский пер., дом 3, стр.1</t>
  </si>
  <si>
    <t>Новый объект</t>
  </si>
  <si>
    <t>А-01 Блок А. Демонтаж штукатурки в подвале</t>
  </si>
  <si>
    <t>Сметные нормы списания</t>
  </si>
  <si>
    <t>Коды ценников</t>
  </si>
  <si>
    <t>ТР для Версии 10: Центральные регионы (с уч. п-ма 2536-ИП/12/ГС от 27.11.12, 01/57049-ЮЛ от 27.04.2018) от 14.03.2019 г</t>
  </si>
  <si>
    <t>ФЕР-2017</t>
  </si>
  <si>
    <t>Поправки  для ГСН-2017 от 31.03.2017 г</t>
  </si>
  <si>
    <t>Новая локальная смета</t>
  </si>
  <si>
    <t>Новый раздел</t>
  </si>
  <si>
    <t>№1 Стены и перегородки.</t>
  </si>
  <si>
    <t>46-02-009-01</t>
  </si>
  <si>
    <t>Отбивка штукатурки с поверхностей стен и потолков деревянных</t>
  </si>
  <si>
    <t>100 м2</t>
  </si>
  <si>
    <t>ФЕР-2001, 46-02-009-01, приказ Минстроя России №1039/пр от 30.12.2016г.</t>
  </si>
  <si>
    <t>Общестроительные работы</t>
  </si>
  <si>
    <t>Реконструкция зданий и сооружений</t>
  </si>
  <si>
    <t>ФЕР-46</t>
  </si>
  <si>
    <t>1</t>
  </si>
  <si>
    <t>46-02-009-02</t>
  </si>
  <si>
    <t>Отбивка штукатурки с поверхностей стен и потолков кирпичных (толщ. 50 мм К=50/22=2,27)</t>
  </si>
  <si>
    <t>ФЕР-2001, 46-02-009-02, приказ Минстроя России №1039/пр от 30.12.2016г.</t>
  </si>
  <si>
    <t>)*2,27</t>
  </si>
  <si>
    <t>2</t>
  </si>
  <si>
    <t>15-02-037-01</t>
  </si>
  <si>
    <t>Демонтаж штукатурной сетки оцинкованной 25х25х0,9, 0,32 кг/м2 (Примен. Устройство каркаса при оштукатуривании стен)</t>
  </si>
  <si>
    <t>ФЕР-2001, 15-02-037-01, приказ Минстроя России №1039/пр от 30.12.2016г.</t>
  </si>
  <si>
    <t>Поправка: МР 81/пр Табл.2, п.4  Наименование: При демонтаже (разборке) металлических конструкций</t>
  </si>
  <si>
    <t>)*0</t>
  </si>
  <si>
    <t>)*0,7</t>
  </si>
  <si>
    <t>Отделочные работы</t>
  </si>
  <si>
    <t>ФЕР-15</t>
  </si>
  <si>
    <t>Поправка: МР 81/пр Табл.2, п.4</t>
  </si>
  <si>
    <t>ПЗ</t>
  </si>
  <si>
    <t>Прямые затраты</t>
  </si>
  <si>
    <t>СтМатОб</t>
  </si>
  <si>
    <t>Стоимость материальных ресурсов (всего)</t>
  </si>
  <si>
    <t>СтМатОбЗак</t>
  </si>
  <si>
    <t>Стоимость материалов и оборудования заказчика</t>
  </si>
  <si>
    <t>СтМатОбПод</t>
  </si>
  <si>
    <t>Стоимость материалов и оборудования подрядчика</t>
  </si>
  <si>
    <t>СтМат</t>
  </si>
  <si>
    <t>Стоимость материалов (всего)</t>
  </si>
  <si>
    <t>СтМатЗак</t>
  </si>
  <si>
    <t>Стоимость материалов заказчика</t>
  </si>
  <si>
    <t>СтМатПод</t>
  </si>
  <si>
    <t>Стоимость материалов подрядчика</t>
  </si>
  <si>
    <t>Оборуд</t>
  </si>
  <si>
    <t>Стоимость оборудования (всего)</t>
  </si>
  <si>
    <t>ОборудЗак</t>
  </si>
  <si>
    <t>Стоимость оборудования заказчика</t>
  </si>
  <si>
    <t>ОборудПод</t>
  </si>
  <si>
    <t>Стоимость оборудования подрядчика</t>
  </si>
  <si>
    <t>ЭММ</t>
  </si>
  <si>
    <t>Эксплуатация машин</t>
  </si>
  <si>
    <t>ЭММсНРиСП</t>
  </si>
  <si>
    <t>Эксплуатация машин по ТСН-2001.16</t>
  </si>
  <si>
    <t>ЗПМ</t>
  </si>
  <si>
    <t>ЗП машинистов</t>
  </si>
  <si>
    <t>ОЗП</t>
  </si>
  <si>
    <t>Основная ЗП рабочих</t>
  </si>
  <si>
    <t>ОЗПсНРиСП</t>
  </si>
  <si>
    <t>Основная ЗП рабочих по ТСН-2001.16</t>
  </si>
  <si>
    <t>Строит</t>
  </si>
  <si>
    <t>Строительные работы с НР и СП</t>
  </si>
  <si>
    <t>Монтаж</t>
  </si>
  <si>
    <t>Монтажные работы с НР и СП</t>
  </si>
  <si>
    <t>Прочие</t>
  </si>
  <si>
    <t>Прочие работы с НР и СП</t>
  </si>
  <si>
    <t>ПрочиеЗатр</t>
  </si>
  <si>
    <t>Прочие затраты по ТСН-2001.16</t>
  </si>
  <si>
    <t>ВозврМат</t>
  </si>
  <si>
    <t>Возврат материалов</t>
  </si>
  <si>
    <t>ТрудСтр</t>
  </si>
  <si>
    <t>Трудозатраты строителей</t>
  </si>
  <si>
    <t>ТрудМаш</t>
  </si>
  <si>
    <t>Трудозатраты машинистов</t>
  </si>
  <si>
    <t>ТранспМат</t>
  </si>
  <si>
    <t>Транспорт материалов</t>
  </si>
  <si>
    <t>НР</t>
  </si>
  <si>
    <t>Накладные расходы</t>
  </si>
  <si>
    <t>СмПриб</t>
  </si>
  <si>
    <t>Сметная прибыль</t>
  </si>
  <si>
    <t>Всего</t>
  </si>
  <si>
    <t>Всего с НР и СП</t>
  </si>
  <si>
    <t>№2 Потолки.</t>
  </si>
  <si>
    <t>3</t>
  </si>
  <si>
    <t>4</t>
  </si>
  <si>
    <t>№3  Прочие работы.</t>
  </si>
  <si>
    <t>5</t>
  </si>
  <si>
    <t>69-15-1</t>
  </si>
  <si>
    <t>Затаривание строительного мусора в мешки</t>
  </si>
  <si>
    <t>т</t>
  </si>
  <si>
    <t>ФЕРр-2001, 69-15-1, приказ Минстроя России №1039/пр от 30.12.2016г.</t>
  </si>
  <si>
    <t>Ремонтно-строительные работы</t>
  </si>
  <si>
    <t>Прочие ремонтно-строительные работы</t>
  </si>
  <si>
    <t>рФЕР-69</t>
  </si>
  <si>
    <t>6</t>
  </si>
  <si>
    <t>т01-01-01-045</t>
  </si>
  <si>
    <t>Погрузочные работы при автомобильных перевозках прочих материалов, деталей (с использованием погрузчика)</t>
  </si>
  <si>
    <t>1 Т ГРУЗА</t>
  </si>
  <si>
    <t>ФССЦпг-2001, т01-01-01-045, приказ Минстроя России №1039/пр от 30.12.2016г.</t>
  </si>
  <si>
    <t>Погрузочно-разгрузочные работы</t>
  </si>
  <si>
    <t>Перевозка грузов , (ФССЦпр 2011-изм. № 4-6, раздел 1):  погрузочно-разгрузочные работы  (НР и СП в прям. затратах )</t>
  </si>
  <si>
    <t>ФССЦпр  пог. а/п (2011,изм. 4-6)</t>
  </si>
  <si>
    <t>7</t>
  </si>
  <si>
    <t>КП</t>
  </si>
  <si>
    <t>Вывоз и утилизация строительных отходов контейнером 15 м3 (не более 12т)</t>
  </si>
  <si>
    <t>контейнер</t>
  </si>
  <si>
    <t>Материалы строительные</t>
  </si>
  <si>
    <t>Материалы, изделия и конструкции</t>
  </si>
  <si>
    <t>материалы (03)</t>
  </si>
  <si>
    <t>[19 400 / 1,2 /  7,89]</t>
  </si>
  <si>
    <t>Итого</t>
  </si>
  <si>
    <t>И1</t>
  </si>
  <si>
    <t>В т.ч. оборудование</t>
  </si>
  <si>
    <t>И2</t>
  </si>
  <si>
    <t>В т.ч. прочие</t>
  </si>
  <si>
    <t>И3</t>
  </si>
  <si>
    <t>Зимнее удорожание 1,41%</t>
  </si>
  <si>
    <t>И4</t>
  </si>
  <si>
    <t>Итого с ЗУ</t>
  </si>
  <si>
    <t>И7</t>
  </si>
  <si>
    <t>НДС 20%</t>
  </si>
  <si>
    <t>И8</t>
  </si>
  <si>
    <t>ВСЕГО С НДС</t>
  </si>
  <si>
    <t>СТР_РЕК</t>
  </si>
  <si>
    <t>СТРОИТЕЛЬСТВО и РЕКОНСТРУКЦИЯ  зданий и сооружений всех назначений</t>
  </si>
  <si>
    <t>РЕМ_ЖИЛ</t>
  </si>
  <si>
    <t>КАП. РЕМ. ЖИЛЫХ И ОБЩЕСТВЕННЫХ ЗДАНИЙ</t>
  </si>
  <si>
    <t>РЕМ_ПР</t>
  </si>
  <si>
    <t>КАП. РЕМ. ПРОИЗВОДСТВЕННЫХ ЗД, и СООРУЖЕНИЙ,  НАРУЖНЫХ ИНЖЕНЕРНЫХ СЕТЕЙ, УЛИЦ И ДОРОГ МЕСТНОГО ЗНАЧЕНИЯ, МОСТОВ И ПУТЕПРОВОДОВ</t>
  </si>
  <si>
    <t>УПР</t>
  </si>
  <si>
    <t>{вкл} - УПРОЩЕННОЕ НАЛОГООБЛОЖЕНИЕ</t>
  </si>
  <si>
    <t>Для всех  расценок. (  при применении упрощенной системы налогообложения)  · {УПР} - ( вкл.)    -  при упрощенной системе   ;  к = 0,9 к СП ( к= 0,7 к НР отменен с 1.01.11)  · {УПР} - ( выкл.) -  при  обычной системе налогообложения</t>
  </si>
  <si>
    <t>ХОЗ</t>
  </si>
  <si>
    <t>{вкл} - ХОЗЯЙСТВЕННЫЙ СПОСОБ</t>
  </si>
  <si>
    <t>Для всех  расценок. (  при хозяйственном способе производства работ):  · {ХОЗ} - ( вкл.)    -  при  хоз. способе (к=0,6 к НР )  · {ХОЗ} - ( выкл.) -  при обычном способе производства работ</t>
  </si>
  <si>
    <t>СЛЖ</t>
  </si>
  <si>
    <t>{вкл} -  При  РЕКОНСТРУКЦИИ сложных объектов, РЕКОНСТРУКЦИИ и КАП. РЕМОНТЕ объектов с дейст. яд. реакторами</t>
  </si>
  <si>
    <t>Для сборников ФЕР ( при производстве работ на технически сложных объектах ):  ·  { СЛЖ } - (вкл.)    - работа на сложных объектах  (к=1,2 к НР)           ·  { СЛЖ } - (выкл.) - работа на обычных объектах</t>
  </si>
  <si>
    <t>ТЕК_М/Т/Я</t>
  </si>
  <si>
    <t>При работе в тек. уровне цен с 27.04.2018 г. (письмо № 01/57049-ЮЛ от 27.04.2018 Минюст РФ), коэффициенты к НР =0,85 и к СП-0,8 не назначаются. До 27.04.2018 г. только для мостов, тоннелей, метро, АЭС, объектов с ядерным топливом (см. прим.)</t>
  </si>
  <si>
    <t>ОПТ/В</t>
  </si>
  <si>
    <t>{вкл}    - Прокладка  МЕЖДУГОРОДНИХ  ВОЛОКОННО-ОПТИЧЕСКИХ ЛИНИЙ (для ФЕРм10, отд. 6 разд.3)  {выкл} - Прокладка  ГОРОДСКИХ               ВОЛОКОННО-ОПТИТЕСКИХ ЛИНИЙ  (для ФЕРм10, отд. 6 разд.3)</t>
  </si>
  <si>
    <t>Для сборников ФЕРм-10  ( волоконно-оптические линии связи ): ·  {М_ГОР_опт} -  ( вкл.)  - междугородные сети связи ( НР=120% , СП=70% )           ·  {М_ГОР_опт} - ( выкл.) - городские сети связи  ( НР=100%; СП=65%)</t>
  </si>
  <si>
    <t>ЗАКР</t>
  </si>
  <si>
    <t>{вкл}   -  Обслуживающие и сопутстующие работы в тоннелях при  производве работ ЗАКРЫТЫМ СПОСОБОМ   {выкл} - Обслуживающие и сопутстующие работы в тоннелях при  производве работ  ОТКРЫТЫМ                       (ФЕР-29, разд.04 )</t>
  </si>
  <si>
    <t>Для сборника ФЕР -29 ( сопутствующие работы в тоннелях и метро. ): ·  {ЗАКР} - (вкл.)     -  при выполнении работ в тоннелях  и метро закрытым способом  (НР=145% , СП=75%); ·                {ЗАКР} - (выкл.) -   при выполнении работ в тоннелях и метро  отк</t>
  </si>
  <si>
    <t>АВИ</t>
  </si>
  <si>
    <t>(вкл)   -  При работах по ДИСПЕТЧЕРЕЗАЦИИ управления движением АВИАТРАНСПОРТОМ {вкл}  (монтажные работы )</t>
  </si>
  <si>
    <t>Для сборников ФЕРм 08;10;11 :    · {мАВИА} -  (вкл.)     -  производство монтажных  работы по диспетчеризации управления  движением авиатранспортном (НР=95%, СП=55%) ;    ·            {мАВИА} -  (выкл. ) -  при производстве работ на прочих объектах , кром</t>
  </si>
  <si>
    <t>АЭС</t>
  </si>
  <si>
    <t>(вкл)  -  Производство эл./монт. работ на АЭС ( ФЕРм -08 , отдел 01-03 ),  и контроль свар. швов  на АЭС {вкл}  (ФЕРм-39, отд. 02 и 03 )  (вык) -  Произовдство эл./монт. работ  и и контроль свар. швов на ОБЫЧНЫХ СООРУЖ,</t>
  </si>
  <si>
    <t>Для сборника ФЕРм -39  и ФЕРМ-08  ( при работах по контролю сварных соединений) :    {мАЭС} - ( вкл.)  -     при выполнении работ по на АЭС  (HР=101%; СП= 68%;             {мАЭС} - (выкл.) -  при выполнении работ  на обычных объектах</t>
  </si>
  <si>
    <t>Инд_исп.Сводный</t>
  </si>
  <si>
    <t>Используется Индекс "по сводному"</t>
  </si>
  <si>
    <t>К_НР_РЕМ</t>
  </si>
  <si>
    <t>при ремонте жилых и общественных зданий если  ( если {РЕМ_ЖИЛ}= [вкл.]</t>
  </si>
  <si>
    <t>Для сборников  ФЕР и  ФЕРмр :  · Значение {_МДСрем_НР}= 0,90 -  при ремонте зданий жилого и гражданского назначений ( 0,90 к НР) ;  · Значение {_МДСрем_НР}= 1,00  - при строительстве  и реконструкции  объектов всех назначений</t>
  </si>
  <si>
    <t>К_СП_РЕМ</t>
  </si>
  <si>
    <t>к нормам СП при капитальном ремонте зданий и сооружений всех назначений ( если или {РЕМ_ЖИЛ}=[вкл] , или (РЕМ_ПР}=[вкл] )</t>
  </si>
  <si>
    <t>Для сборников  ФЕР и  ФЕРмр :   · Значение {_МДСрем_СП} = 0.85  -  при ремонте зданий всех назначений ( 0,85 к СП);   · Значение {_МДСрем_СП} = 1,00 -  при строительстве  и реконструкции  объектов всех назначений</t>
  </si>
  <si>
    <t>К_НР_05</t>
  </si>
  <si>
    <t>К нормам НР  с 1.01.2005 по 1.01.2011</t>
  </si>
  <si>
    <t>Для норм НР с 1.01.2011 года:  · {_ТЕК_НР} = 0.85  -  Коэффициент   учитывающий изменение нормы страховых взносов с  1.01.1 - (при расчете в текущем уровне цен  индексами по статьям затрат )  · {_ТЕК_НР} = 1,00  -  при расчет в текущем уровне цен и при уп</t>
  </si>
  <si>
    <t>К_НР_11</t>
  </si>
  <si>
    <t>Коэфф.  к НР для текущего уровня цен с 01.01.2011  при обычном и упрощенном налогообложении  при постатейной индексации</t>
  </si>
  <si>
    <t>К_СП_11</t>
  </si>
  <si>
    <t>Коэф. к  СП в текущем уровне цен  с 01.01.2011</t>
  </si>
  <si>
    <t>Для норм СП с 1.01.2011 года:  · {_ТЕК_СП} = 0.80  -  Коэффициент   учитывающий изменение нормы страховых взносов с  1.01.11 - (при расчете в текущем уровне цен  индексами по статьям затрат )  · {_ТЕК_СП} = 1,00  -  без учета</t>
  </si>
  <si>
    <t>К_НР_12</t>
  </si>
  <si>
    <t>Корректировка НР с 03.12.12 до 27.04.18 если (ТЕК_М/Т/Я) = {выкл.}</t>
  </si>
  <si>
    <t>К_СП_12</t>
  </si>
  <si>
    <t>Корректировка СП с 03.12.12 до 27.04.18 в текущем уровне цен по письму  2536-ИП/12/ГС от 27.11.12  ( если (ТЕК_М/Т/Я) = {выкл.} )</t>
  </si>
  <si>
    <t>К_НР_УПР</t>
  </si>
  <si>
    <t>Коэф. к  НР при упрощенном налогообложении    ( если {УПР} = [вкл] )</t>
  </si>
  <si>
    <t>К_СП_УПР</t>
  </si>
  <si>
    <t>Коэф. к СП при упрощенном налогообложении    ( если {УПР} = [вкл] )</t>
  </si>
  <si>
    <t>К_НР_ХОЗ</t>
  </si>
  <si>
    <t>Коэф. к НР при хозяйственном способе производства работ   ( если {ХОЗ}= {вкл} )</t>
  </si>
  <si>
    <t>К_НР_СЛЖ</t>
  </si>
  <si>
    <t>Коэф.  при реконструкции сложных объектов (мосты, метро, путепроводы)  и  кап. ремонте АЭС, объектов с яд. реакторами   ( если {СЛЖ} = [вкл] )</t>
  </si>
  <si>
    <t>Р_ОКР</t>
  </si>
  <si>
    <t>Разрядность округления результата расчета НР и СП  ( с 01.01.2011 - до целых )</t>
  </si>
  <si>
    <t>К_НР_УПР_ПУ</t>
  </si>
  <si>
    <t>Коэф. к НР при упрощенном налогообложении ( если {УПР} = [вкл] ) для расценок на изготовление материалов, полуфабрикатов, а также металлических и трубопроводных заготовок, изготовляемых в построечных условиях</t>
  </si>
  <si>
    <t>Текущий уровень цен</t>
  </si>
  <si>
    <t>Сборник индексов</t>
  </si>
  <si>
    <t>Индексы к ФЕР-2017 (Стройинформресурс)</t>
  </si>
  <si>
    <t>Базовый уровень цен</t>
  </si>
  <si>
    <t>_OBSM_</t>
  </si>
  <si>
    <t>1-100-20</t>
  </si>
  <si>
    <t>Рабочий среднего разряда 2</t>
  </si>
  <si>
    <t>чел.-ч.</t>
  </si>
  <si>
    <t>1-100-36</t>
  </si>
  <si>
    <t>Рабочий среднего разряда 3.6</t>
  </si>
  <si>
    <t>4-100-00</t>
  </si>
  <si>
    <t>Затраты труда машинистов</t>
  </si>
  <si>
    <t>91.06.05-011</t>
  </si>
  <si>
    <t>ФСЭМ-2001, 91.06.05-011, приказ Минстроя России №1039/пр от 30.12.2016г.</t>
  </si>
  <si>
    <t>Погрузчик, грузоподъемность 5 т</t>
  </si>
  <si>
    <t>маш.-ч</t>
  </si>
  <si>
    <t>91.06.06-048</t>
  </si>
  <si>
    <t>ФСЭМ-2001, 91.06.06-048, приказ Минстроя России №1039/пр от 30.12.2016г.</t>
  </si>
  <si>
    <t>Подъемники одномачтовые, грузоподъемность до 500 кг, высота подъема 45 м</t>
  </si>
  <si>
    <t>08.3.03.04-0043</t>
  </si>
  <si>
    <t>ФССЦ-2001, 08.3.03.04-0043, приказ Минстроя России №1039/пр от 30.12.2016г.</t>
  </si>
  <si>
    <t>Проволока черная диаметром 1,1 мм</t>
  </si>
  <si>
    <t>08.3.03.06-0002</t>
  </si>
  <si>
    <t>ФССЦ-2001, 08.3.03.06-0002, приказ Минстроя России №1039/пр от 30.12.2016г.</t>
  </si>
  <si>
    <t>Проволока горячекатаная в мотках, диаметром 6,3-6,5 мм</t>
  </si>
  <si>
    <t>1-100-10</t>
  </si>
  <si>
    <t>Рабочий среднего разряда 1</t>
  </si>
  <si>
    <t>01.7.20.03-0003</t>
  </si>
  <si>
    <t>ФССЦ-2001, 01.7.20.03-0003, приказ Минстроя России №1039/пр от 30.12.2016г.</t>
  </si>
  <si>
    <t>Мешки полипропиленовые (50 кг)</t>
  </si>
  <si>
    <t>100 шт.</t>
  </si>
  <si>
    <t>(наименование стройки)</t>
  </si>
  <si>
    <t xml:space="preserve">Номер заказа   </t>
  </si>
  <si>
    <t>(наименование работ и затрат, наименование объекта)</t>
  </si>
  <si>
    <t>базовая цена</t>
  </si>
  <si>
    <t>текущая цена</t>
  </si>
  <si>
    <t>Сметная стоимость</t>
  </si>
  <si>
    <t>тыс. руб.</t>
  </si>
  <si>
    <t xml:space="preserve">     Строительные работы</t>
  </si>
  <si>
    <t xml:space="preserve">     Монтажные работы</t>
  </si>
  <si>
    <t xml:space="preserve">     Оборудование</t>
  </si>
  <si>
    <t xml:space="preserve">     Прочие работы</t>
  </si>
  <si>
    <t>Нормативная трудоемкость</t>
  </si>
  <si>
    <t>чел. -ч.</t>
  </si>
  <si>
    <t>Средства на оплату труда</t>
  </si>
  <si>
    <t>№ п/п</t>
  </si>
  <si>
    <t>Шифр расценки и коды ресурсов</t>
  </si>
  <si>
    <t>Наименование работ и затрат</t>
  </si>
  <si>
    <t>Ед. изм.</t>
  </si>
  <si>
    <t>Кол-во единиц</t>
  </si>
  <si>
    <t>Цена на ед. изм.</t>
  </si>
  <si>
    <t>Попра-вочные коэфф.</t>
  </si>
  <si>
    <t>Стоимость в ценах 2001г.</t>
  </si>
  <si>
    <t>Пункт коэфф. пересчета</t>
  </si>
  <si>
    <t>Коэфф. пересчета</t>
  </si>
  <si>
    <t>Стоимость в текущих ценах</t>
  </si>
  <si>
    <t>ЗТР всего чел.-час</t>
  </si>
  <si>
    <t>Составлена в ценах Индексы к ФЕР-2017 (Стройинформресурс) июль 2019 года</t>
  </si>
  <si>
    <t>Зарплата</t>
  </si>
  <si>
    <t>НР от ФОТ</t>
  </si>
  <si>
    <t>%</t>
  </si>
  <si>
    <t>СП от ФОТ</t>
  </si>
  <si>
    <t>Затраты труда</t>
  </si>
  <si>
    <t>чел-ч</t>
  </si>
  <si>
    <r>
      <t>15-02-037-01</t>
    </r>
    <r>
      <rPr>
        <i/>
        <sz val="10"/>
        <rFont val="Arial"/>
        <family val="2"/>
        <charset val="204"/>
      </rPr>
      <t xml:space="preserve">
Поправка: МР 81/пр Табл.2, п.4</t>
    </r>
  </si>
  <si>
    <t>в т.ч. зарплата машинистов</t>
  </si>
  <si>
    <t>Материальные ресурсы</t>
  </si>
  <si>
    <r>
      <t>Вывоз и утилизация строительных отходов контейнером 15 м3 (не более 12т)</t>
    </r>
    <r>
      <rPr>
        <i/>
        <sz val="10"/>
        <rFont val="Arial"/>
        <family val="2"/>
        <charset val="204"/>
      </rPr>
      <t xml:space="preserve">
Базисная стоимость: 2 049,01 = [19 400 / 1,2 /  7,89]</t>
    </r>
  </si>
  <si>
    <t xml:space="preserve">   </t>
  </si>
  <si>
    <t xml:space="preserve">Составил  </t>
  </si>
  <si>
    <t>[должность,подпись(инициалы,фамилия)]</t>
  </si>
  <si>
    <t xml:space="preserve">Проверил  </t>
  </si>
  <si>
    <t xml:space="preserve">Мы, нижеподписавшиеся, произвели осмотр объекта </t>
  </si>
  <si>
    <t xml:space="preserve">и постановили произвести ремонт объекта в </t>
  </si>
  <si>
    <t>следующем объеме:</t>
  </si>
  <si>
    <t>Единица измерения</t>
  </si>
  <si>
    <t>Количество</t>
  </si>
  <si>
    <t>Примечание</t>
  </si>
  <si>
    <t>Подписи членов комиссии:</t>
  </si>
  <si>
    <t>TYPE</t>
  </si>
  <si>
    <t>LINK</t>
  </si>
  <si>
    <t>RABMAT_EX</t>
  </si>
  <si>
    <t>TIP_RAB</t>
  </si>
  <si>
    <t>TYPE_TRUD</t>
  </si>
  <si>
    <t>TAB</t>
  </si>
  <si>
    <t>NAME</t>
  </si>
  <si>
    <t>EDIZM</t>
  </si>
  <si>
    <t>KOLL</t>
  </si>
  <si>
    <t>UCH</t>
  </si>
  <si>
    <t>PRICE_B</t>
  </si>
  <si>
    <t>PRICE_ED</t>
  </si>
  <si>
    <t>STOIM_B</t>
  </si>
  <si>
    <t>PRICE_C</t>
  </si>
  <si>
    <t>STOIM_C</t>
  </si>
  <si>
    <t>ZPM_B</t>
  </si>
  <si>
    <t>ZPM_ED</t>
  </si>
  <si>
    <t>STOIM_ZPM_B</t>
  </si>
  <si>
    <t>ZPM_C</t>
  </si>
  <si>
    <t>STOIM_ZPM_C</t>
  </si>
  <si>
    <t>CRC_GR_RES</t>
  </si>
  <si>
    <t>CRC_B</t>
  </si>
  <si>
    <t>CRC_C</t>
  </si>
  <si>
    <t>BuildingFinished</t>
  </si>
  <si>
    <t>Trud</t>
  </si>
  <si>
    <t>Mash</t>
  </si>
  <si>
    <t>Mat</t>
  </si>
  <si>
    <t>MatZak</t>
  </si>
  <si>
    <t>Oborud</t>
  </si>
  <si>
    <t>OborudZak</t>
  </si>
  <si>
    <t>ZeroStoim</t>
  </si>
  <si>
    <t>NegativeKoll</t>
  </si>
  <si>
    <t>ReUnionKollResurcy</t>
  </si>
  <si>
    <t>Ресурсная ведомость на</t>
  </si>
  <si>
    <t>Обоснование</t>
  </si>
  <si>
    <t>Наименование</t>
  </si>
  <si>
    <t>Объем</t>
  </si>
  <si>
    <t>Базовая</t>
  </si>
  <si>
    <t>цена</t>
  </si>
  <si>
    <t>стоимость</t>
  </si>
  <si>
    <t>Текущая</t>
  </si>
  <si>
    <t xml:space="preserve">Трудовые ресурсы </t>
  </si>
  <si>
    <t xml:space="preserve">Итого трудовые ресурсы </t>
  </si>
  <si>
    <t xml:space="preserve">Машины и механизмы </t>
  </si>
  <si>
    <t xml:space="preserve">	в том числе ЗПМ</t>
  </si>
  <si>
    <t xml:space="preserve">Итого машины и механизмы </t>
  </si>
  <si>
    <t xml:space="preserve">в том числе ЗПМ </t>
  </si>
  <si>
    <t xml:space="preserve">Материальные ресурсы </t>
  </si>
  <si>
    <t xml:space="preserve">Итого материальные ресурсы </t>
  </si>
  <si>
    <t>А-01/Ф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</si>
</sst>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;[Red]\-\ #,##0.00"/>
    <numFmt numFmtId="165" formatCode="#,##0.00####;[Red]\-\ #,##0.00####"/>
  </numFmts>
  <fonts count="23" x14ac:knownFonts="1">
    <font>
      <sz val="10"/>
      <name val="Arial"/>
      <charset val="204"/>
    </font>
    <font>
      <b/>
      <sz val="10"/>
      <color indexed="12"/>
      <name val="Arial"/>
      <family val="2"/>
      <charset val="204"/>
    </font>
    <font>
      <sz val="10"/>
      <color indexed="18"/>
      <name val="Arial"/>
      <family val="2"/>
      <charset val="204"/>
    </font>
    <font>
      <b/>
      <sz val="10"/>
      <color indexed="16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17"/>
      <name val="Arial"/>
      <family val="2"/>
      <charset val="204"/>
    </font>
    <font>
      <sz val="10"/>
      <color indexed="12"/>
      <name val="Arial"/>
      <family val="2"/>
      <charset val="204"/>
    </font>
    <font>
      <sz val="10"/>
      <color indexed="14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14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b/>
      <sz val="14"/>
      <name val="Arial"/>
      <family val="2"/>
      <charset val="204"/>
    </font>
    <font>
      <sz val="13"/>
      <name val="Arial"/>
      <family val="2"/>
      <charset val="204"/>
    </font>
    <font>
      <i/>
      <sz val="11"/>
      <name val="Arial"/>
      <family val="2"/>
      <charset val="204"/>
    </font>
    <font>
      <i/>
      <sz val="10"/>
      <name val="Arial"/>
      <family val="2"/>
      <charset val="204"/>
    </font>
    <font>
      <b/>
      <sz val="13"/>
      <name val="Arial"/>
      <family val="2"/>
      <charset val="204"/>
    </font>
    <font>
      <b/>
      <sz val="9"/>
      <name val="Arial"/>
      <family val="2"/>
      <charset val="204"/>
    </font>
    <font>
      <b/>
      <sz val="10"/>
      <color indexed="12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2" fillId="0" borderId="0" xfId="0" applyFont="1"/>
    <xf numFmtId="0" fontId="13" fillId="0" borderId="0" xfId="0" applyFont="1" applyBorder="1" applyAlignment="1">
      <alignment wrapText="1"/>
    </xf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>
      <alignment wrapText="1"/>
    </xf>
    <xf numFmtId="0" fontId="15" fillId="0" borderId="0" xfId="0" applyFont="1" applyAlignment="1">
      <alignment vertical="center" wrapText="1"/>
    </xf>
    <xf numFmtId="0" fontId="14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1" fillId="0" borderId="0" xfId="0" applyFont="1" applyAlignment="1">
      <alignment wrapText="1"/>
    </xf>
    <xf numFmtId="164" fontId="0" fillId="0" borderId="0" xfId="0" applyNumberFormat="1"/>
    <xf numFmtId="0" fontId="13" fillId="0" borderId="2" xfId="0" applyFont="1" applyBorder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horizontal="left" wrapText="1"/>
    </xf>
    <xf numFmtId="0" fontId="18" fillId="0" borderId="0" xfId="0" applyFont="1" applyAlignment="1">
      <alignment horizontal="right" wrapText="1"/>
    </xf>
    <xf numFmtId="165" fontId="13" fillId="0" borderId="0" xfId="0" applyNumberFormat="1" applyFont="1" applyAlignment="1">
      <alignment horizontal="right"/>
    </xf>
    <xf numFmtId="0" fontId="13" fillId="0" borderId="0" xfId="0" applyFont="1" applyAlignment="1">
      <alignment horizontal="right" wrapText="1"/>
    </xf>
    <xf numFmtId="164" fontId="13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 wrapText="1"/>
    </xf>
    <xf numFmtId="0" fontId="18" fillId="0" borderId="2" xfId="0" applyFont="1" applyBorder="1" applyAlignment="1">
      <alignment horizontal="right" wrapText="1"/>
    </xf>
    <xf numFmtId="0" fontId="13" fillId="0" borderId="2" xfId="0" applyFont="1" applyBorder="1" applyAlignment="1">
      <alignment horizontal="right"/>
    </xf>
    <xf numFmtId="165" fontId="13" fillId="0" borderId="2" xfId="0" applyNumberFormat="1" applyFont="1" applyBorder="1" applyAlignment="1">
      <alignment horizontal="right"/>
    </xf>
    <xf numFmtId="0" fontId="13" fillId="0" borderId="2" xfId="0" applyFont="1" applyBorder="1" applyAlignment="1">
      <alignment horizontal="right" wrapText="1"/>
    </xf>
    <xf numFmtId="164" fontId="13" fillId="0" borderId="2" xfId="0" applyNumberFormat="1" applyFont="1" applyBorder="1" applyAlignment="1">
      <alignment horizontal="right"/>
    </xf>
    <xf numFmtId="164" fontId="12" fillId="0" borderId="2" xfId="0" applyNumberFormat="1" applyFont="1" applyBorder="1" applyAlignment="1">
      <alignment horizontal="right"/>
    </xf>
    <xf numFmtId="164" fontId="21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0" fontId="12" fillId="0" borderId="2" xfId="0" applyFont="1" applyBorder="1" applyAlignment="1">
      <alignment horizontal="right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3" fillId="0" borderId="2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0" fontId="15" fillId="0" borderId="0" xfId="0" applyFont="1" applyAlignment="1">
      <alignment horizontal="left" vertical="top"/>
    </xf>
    <xf numFmtId="0" fontId="13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3" xfId="0" applyFont="1" applyBorder="1" applyAlignment="1">
      <alignment horizontal="left" vertical="top"/>
    </xf>
    <xf numFmtId="0" fontId="13" fillId="0" borderId="3" xfId="0" applyFont="1" applyBorder="1" applyAlignment="1">
      <alignment horizontal="left" wrapText="1"/>
    </xf>
    <xf numFmtId="0" fontId="13" fillId="0" borderId="3" xfId="0" applyFont="1" applyBorder="1" applyAlignment="1">
      <alignment horizontal="right" wrapText="1"/>
    </xf>
    <xf numFmtId="0" fontId="13" fillId="0" borderId="3" xfId="0" applyFont="1" applyBorder="1" applyAlignment="1">
      <alignment horizontal="right"/>
    </xf>
    <xf numFmtId="0" fontId="13" fillId="0" borderId="5" xfId="0" applyFont="1" applyBorder="1" applyAlignment="1">
      <alignment horizontal="left" vertical="top"/>
    </xf>
    <xf numFmtId="0" fontId="13" fillId="0" borderId="5" xfId="0" applyFont="1" applyBorder="1" applyAlignment="1">
      <alignment horizontal="left" wrapText="1"/>
    </xf>
    <xf numFmtId="0" fontId="13" fillId="0" borderId="5" xfId="0" applyFont="1" applyBorder="1" applyAlignment="1">
      <alignment horizontal="right" wrapText="1"/>
    </xf>
    <xf numFmtId="0" fontId="13" fillId="0" borderId="5" xfId="0" applyFont="1" applyBorder="1" applyAlignment="1">
      <alignment horizontal="right"/>
    </xf>
    <xf numFmtId="49" fontId="13" fillId="0" borderId="3" xfId="0" applyNumberFormat="1" applyFont="1" applyBorder="1" applyAlignment="1">
      <alignment horizontal="left" vertical="top" wrapText="1"/>
    </xf>
    <xf numFmtId="164" fontId="13" fillId="0" borderId="3" xfId="0" applyNumberFormat="1" applyFont="1" applyBorder="1" applyAlignment="1">
      <alignment horizontal="right" wrapText="1"/>
    </xf>
    <xf numFmtId="0" fontId="22" fillId="0" borderId="0" xfId="0" applyFont="1"/>
    <xf numFmtId="0" fontId="0" fillId="0" borderId="0" xfId="0" applyFill="1"/>
    <xf numFmtId="0" fontId="1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6" fillId="0" borderId="0" xfId="0" applyFont="1" applyFill="1"/>
    <xf numFmtId="164" fontId="15" fillId="0" borderId="1" xfId="0" applyNumberFormat="1" applyFont="1" applyBorder="1" applyAlignment="1">
      <alignment horizontal="right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left" wrapText="1"/>
    </xf>
    <xf numFmtId="0" fontId="12" fillId="0" borderId="1" xfId="0" applyFont="1" applyBorder="1" applyAlignment="1">
      <alignment horizontal="center" vertical="top"/>
    </xf>
    <xf numFmtId="164" fontId="15" fillId="0" borderId="0" xfId="0" applyNumberFormat="1" applyFont="1" applyAlignment="1">
      <alignment horizontal="right"/>
    </xf>
    <xf numFmtId="0" fontId="13" fillId="0" borderId="0" xfId="0" applyFont="1" applyAlignment="1">
      <alignment horizontal="left" wrapText="1"/>
    </xf>
    <xf numFmtId="164" fontId="13" fillId="0" borderId="0" xfId="0" applyNumberFormat="1" applyFont="1" applyAlignment="1">
      <alignment horizontal="right"/>
    </xf>
    <xf numFmtId="0" fontId="13" fillId="0" borderId="2" xfId="0" applyFont="1" applyBorder="1" applyAlignment="1">
      <alignment horizontal="left"/>
    </xf>
    <xf numFmtId="0" fontId="15" fillId="0" borderId="0" xfId="0" applyFont="1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top" wrapText="1"/>
    </xf>
    <xf numFmtId="0" fontId="13" fillId="0" borderId="0" xfId="0" applyFont="1" applyAlignment="1">
      <alignment horizontal="right" wrapText="1"/>
    </xf>
    <xf numFmtId="0" fontId="16" fillId="0" borderId="0" xfId="0" applyFont="1" applyBorder="1" applyAlignment="1">
      <alignment horizontal="center" wrapText="1"/>
    </xf>
    <xf numFmtId="0" fontId="16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20" fillId="0" borderId="5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3" xfId="0" applyFont="1" applyBorder="1" applyAlignment="1">
      <alignment horizontal="right"/>
    </xf>
    <xf numFmtId="164" fontId="15" fillId="0" borderId="3" xfId="0" applyNumberFormat="1" applyFont="1" applyBorder="1" applyAlignment="1">
      <alignment horizontal="right"/>
    </xf>
    <xf numFmtId="0" fontId="15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AD103"/>
  <sheetViews>
    <sheetView topLeftCell="A26" zoomScaleNormal="100" workbookViewId="0">
      <selection activeCell="B2" sqref="B2:K2"/>
    </sheetView>
  </sheetViews>
  <sheetFormatPr defaultRowHeight="12.75" x14ac:dyDescent="0.2"/>
  <cols>
    <col min="1" max="1" width="5.7109375" customWidth="1"/>
    <col min="2" max="2" width="11.7109375" customWidth="1"/>
    <col min="3" max="3" width="40.7109375" customWidth="1"/>
    <col min="4" max="5" width="10.7109375" customWidth="1"/>
    <col min="6" max="8" width="12.7109375" customWidth="1"/>
    <col min="9" max="9" width="17.7109375" customWidth="1"/>
    <col min="10" max="10" width="8.7109375" customWidth="1"/>
    <col min="11" max="11" width="12.7109375" customWidth="1"/>
    <col min="12" max="12" width="8.7109375" customWidth="1"/>
    <col min="15" max="29" width="0" hidden="1" customWidth="1"/>
    <col min="30" max="30" width="147.7109375" hidden="1" customWidth="1"/>
    <col min="31" max="36" width="0" hidden="1" customWidth="1"/>
  </cols>
  <sheetData>
    <row r="1" spans="1:30" x14ac:dyDescent="0.2">
      <c r="A1" s="11" t="str">
        <f>Source!B1</f>
        <v>Smeta.RU Flash  (495) 974-1589</v>
      </c>
    </row>
    <row r="2" spans="1:30" ht="31.5" x14ac:dyDescent="0.25">
      <c r="A2" s="12"/>
      <c r="B2" s="84" t="s">
        <v>5</v>
      </c>
      <c r="C2" s="84"/>
      <c r="D2" s="84"/>
      <c r="E2" s="84"/>
      <c r="F2" s="84"/>
      <c r="G2" s="84"/>
      <c r="H2" s="84"/>
      <c r="I2" s="84"/>
      <c r="J2" s="84"/>
      <c r="K2" s="84"/>
      <c r="L2" s="12"/>
      <c r="AD2" s="17" t="s">
        <v>5</v>
      </c>
    </row>
    <row r="3" spans="1:30" ht="14.25" x14ac:dyDescent="0.2">
      <c r="A3" s="13"/>
      <c r="B3" s="85" t="s">
        <v>223</v>
      </c>
      <c r="C3" s="85"/>
      <c r="D3" s="85"/>
      <c r="E3" s="85"/>
      <c r="F3" s="85"/>
      <c r="G3" s="85"/>
      <c r="H3" s="85"/>
      <c r="I3" s="85"/>
      <c r="J3" s="85"/>
      <c r="K3" s="85"/>
      <c r="L3" s="12"/>
    </row>
    <row r="4" spans="1:30" ht="14.25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30" ht="14.25" x14ac:dyDescent="0.2">
      <c r="A5" s="14"/>
      <c r="B5" s="14"/>
      <c r="C5" s="14"/>
      <c r="D5" s="14"/>
      <c r="E5" s="14"/>
      <c r="F5" s="86" t="s">
        <v>224</v>
      </c>
      <c r="G5" s="86"/>
      <c r="H5" s="78" t="str">
        <f>IF(Source!F12&lt;&gt;"Новый объект", Source!F12, "")</f>
        <v/>
      </c>
      <c r="I5" s="78"/>
      <c r="J5" s="78"/>
      <c r="K5" s="78"/>
      <c r="L5" s="15"/>
    </row>
    <row r="6" spans="1:30" ht="14.25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30" ht="15.75" x14ac:dyDescent="0.25">
      <c r="A7" s="16"/>
      <c r="B7" s="84" t="str">
        <f>CONCATENATE( "ЛОКАЛЬНАЯ СМЕТА № ",IF(Source!F20&lt;&gt;"Новая локальная смета", Source!F20, ""))</f>
        <v>ЛОКАЛЬНАЯ СМЕТА № А-01/Ф</v>
      </c>
      <c r="C7" s="84"/>
      <c r="D7" s="84"/>
      <c r="E7" s="84"/>
      <c r="F7" s="84"/>
      <c r="G7" s="84"/>
      <c r="H7" s="84"/>
      <c r="I7" s="84"/>
      <c r="J7" s="84"/>
      <c r="K7" s="84"/>
      <c r="L7" s="16"/>
    </row>
    <row r="8" spans="1:30" ht="15.75" x14ac:dyDescent="0.25">
      <c r="A8" s="16"/>
      <c r="B8" s="17"/>
      <c r="C8" s="17"/>
      <c r="D8" s="17"/>
      <c r="E8" s="17"/>
      <c r="F8" s="17"/>
      <c r="G8" s="17"/>
      <c r="H8" s="17"/>
      <c r="I8" s="17"/>
      <c r="J8" s="17"/>
      <c r="K8" s="17"/>
      <c r="L8" s="16"/>
    </row>
    <row r="9" spans="1:30" ht="18" hidden="1" x14ac:dyDescent="0.25">
      <c r="A9" s="16"/>
      <c r="B9" s="87" t="str">
        <f>IF(Source!G20&lt;&gt;"Новая локальная смета", Source!G20, "")</f>
        <v/>
      </c>
      <c r="C9" s="87"/>
      <c r="D9" s="87"/>
      <c r="E9" s="87"/>
      <c r="F9" s="87"/>
      <c r="G9" s="87"/>
      <c r="H9" s="87"/>
      <c r="I9" s="87"/>
      <c r="J9" s="87"/>
      <c r="K9" s="87"/>
      <c r="L9" s="16"/>
    </row>
    <row r="10" spans="1:30" ht="14.25" hidden="1" x14ac:dyDescent="0.2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</row>
    <row r="11" spans="1:30" ht="18" x14ac:dyDescent="0.25">
      <c r="A11" s="14"/>
      <c r="B11" s="88" t="str">
        <f>IF(Source!G12&lt;&gt;"Новый объект", Source!G12, "")</f>
        <v>А-01 Блок А. Демонтаж штукатурки в подвале</v>
      </c>
      <c r="C11" s="88"/>
      <c r="D11" s="88"/>
      <c r="E11" s="88"/>
      <c r="F11" s="88"/>
      <c r="G11" s="88"/>
      <c r="H11" s="88"/>
      <c r="I11" s="88"/>
      <c r="J11" s="88"/>
      <c r="K11" s="88"/>
      <c r="L11" s="18"/>
    </row>
    <row r="12" spans="1:30" ht="14.25" x14ac:dyDescent="0.2">
      <c r="A12" s="14"/>
      <c r="B12" s="89" t="s">
        <v>225</v>
      </c>
      <c r="C12" s="89"/>
      <c r="D12" s="89"/>
      <c r="E12" s="89"/>
      <c r="F12" s="89"/>
      <c r="G12" s="89"/>
      <c r="H12" s="89"/>
      <c r="I12" s="89"/>
      <c r="J12" s="89"/>
      <c r="K12" s="89"/>
      <c r="L12" s="12"/>
    </row>
    <row r="13" spans="1:30" ht="14.25" x14ac:dyDescent="0.2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</row>
    <row r="14" spans="1:30" ht="14.25" x14ac:dyDescent="0.2">
      <c r="A14" s="78" t="str">
        <f>CONCATENATE("Основание: ", Source!J20)</f>
        <v xml:space="preserve">Основание: </v>
      </c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</row>
    <row r="15" spans="1:30" ht="14.25" x14ac:dyDescent="0.2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6" spans="1:30" ht="14.25" x14ac:dyDescent="0.2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1:22" ht="14.25" x14ac:dyDescent="0.2">
      <c r="A17" s="14"/>
      <c r="B17" s="14"/>
      <c r="C17" s="14"/>
      <c r="D17" s="14"/>
      <c r="E17" s="19"/>
      <c r="F17" s="19"/>
      <c r="G17" s="90" t="s">
        <v>226</v>
      </c>
      <c r="H17" s="90"/>
      <c r="I17" s="90" t="s">
        <v>227</v>
      </c>
      <c r="J17" s="90"/>
      <c r="K17" s="14"/>
      <c r="L17" s="14"/>
    </row>
    <row r="18" spans="1:22" ht="15" x14ac:dyDescent="0.25">
      <c r="A18" s="14"/>
      <c r="B18" s="14"/>
      <c r="C18" s="81" t="s">
        <v>228</v>
      </c>
      <c r="D18" s="81"/>
      <c r="E18" s="81"/>
      <c r="F18" s="81"/>
      <c r="G18" s="79">
        <f>SUM(O29:O90)/1000</f>
        <v>86.39085</v>
      </c>
      <c r="H18" s="79"/>
      <c r="I18" s="79">
        <f>(Source!P171/1000)</f>
        <v>1648.0434599999999</v>
      </c>
      <c r="J18" s="79"/>
      <c r="K18" s="82" t="s">
        <v>229</v>
      </c>
      <c r="L18" s="82"/>
    </row>
    <row r="19" spans="1:22" ht="14.25" x14ac:dyDescent="0.2">
      <c r="A19" s="14"/>
      <c r="B19" s="14"/>
      <c r="C19" s="83" t="s">
        <v>230</v>
      </c>
      <c r="D19" s="83"/>
      <c r="E19" s="83"/>
      <c r="F19" s="83"/>
      <c r="G19" s="79">
        <f>SUM(W29:W90)/1000</f>
        <v>49.508669999999995</v>
      </c>
      <c r="H19" s="79"/>
      <c r="I19" s="79">
        <f>(Source!P161)/1000</f>
        <v>1357.04306</v>
      </c>
      <c r="J19" s="79"/>
      <c r="K19" s="82" t="s">
        <v>229</v>
      </c>
      <c r="L19" s="82"/>
    </row>
    <row r="20" spans="1:22" ht="14.25" x14ac:dyDescent="0.2">
      <c r="A20" s="14"/>
      <c r="B20" s="14"/>
      <c r="C20" s="83" t="s">
        <v>231</v>
      </c>
      <c r="D20" s="83"/>
      <c r="E20" s="83"/>
      <c r="F20" s="83"/>
      <c r="G20" s="79">
        <f>SUM(X29:X90)/1000</f>
        <v>0</v>
      </c>
      <c r="H20" s="79"/>
      <c r="I20" s="79">
        <f>(Source!P162)/1000</f>
        <v>0</v>
      </c>
      <c r="J20" s="79"/>
      <c r="K20" s="82" t="s">
        <v>229</v>
      </c>
      <c r="L20" s="82"/>
    </row>
    <row r="21" spans="1:22" ht="14.25" x14ac:dyDescent="0.2">
      <c r="A21" s="14"/>
      <c r="B21" s="14"/>
      <c r="C21" s="83" t="s">
        <v>232</v>
      </c>
      <c r="D21" s="83"/>
      <c r="E21" s="83"/>
      <c r="F21" s="83"/>
      <c r="G21" s="79">
        <f>SUM(Y29:Y90)/1000</f>
        <v>0</v>
      </c>
      <c r="H21" s="79"/>
      <c r="I21" s="79">
        <f>(Source!P153)/1000</f>
        <v>0</v>
      </c>
      <c r="J21" s="79"/>
      <c r="K21" s="82" t="s">
        <v>229</v>
      </c>
      <c r="L21" s="82"/>
    </row>
    <row r="22" spans="1:22" ht="14.25" x14ac:dyDescent="0.2">
      <c r="A22" s="14"/>
      <c r="B22" s="14"/>
      <c r="C22" s="83" t="s">
        <v>233</v>
      </c>
      <c r="D22" s="83"/>
      <c r="E22" s="83"/>
      <c r="F22" s="83"/>
      <c r="G22" s="79">
        <f>SUM(Z29:Z90)/1000</f>
        <v>36.882179999999998</v>
      </c>
      <c r="H22" s="79"/>
      <c r="I22" s="79">
        <f>(Source!P163+Source!P164)/1000</f>
        <v>291.00040000000001</v>
      </c>
      <c r="J22" s="79"/>
      <c r="K22" s="82" t="s">
        <v>229</v>
      </c>
      <c r="L22" s="82"/>
    </row>
    <row r="23" spans="1:22" ht="15" x14ac:dyDescent="0.25">
      <c r="A23" s="14"/>
      <c r="B23" s="14"/>
      <c r="C23" s="81" t="s">
        <v>234</v>
      </c>
      <c r="D23" s="81"/>
      <c r="E23" s="81"/>
      <c r="F23" s="81"/>
      <c r="G23" s="79">
        <f>I23</f>
        <v>1944.61349696</v>
      </c>
      <c r="H23" s="79"/>
      <c r="I23" s="79">
        <f>(Source!P166+Source!P167)</f>
        <v>1944.61349696</v>
      </c>
      <c r="J23" s="79"/>
      <c r="K23" s="82" t="s">
        <v>235</v>
      </c>
      <c r="L23" s="82"/>
    </row>
    <row r="24" spans="1:22" ht="15" x14ac:dyDescent="0.25">
      <c r="A24" s="14"/>
      <c r="B24" s="14"/>
      <c r="C24" s="81" t="s">
        <v>236</v>
      </c>
      <c r="D24" s="81"/>
      <c r="E24" s="81"/>
      <c r="F24" s="81"/>
      <c r="G24" s="79">
        <f>SUM(R29:R90)/1000</f>
        <v>15.65644</v>
      </c>
      <c r="H24" s="79"/>
      <c r="I24" s="79">
        <f>((Source!P159 + Source!P158)/1000)</f>
        <v>473.45021000000003</v>
      </c>
      <c r="J24" s="79"/>
      <c r="K24" s="82" t="s">
        <v>229</v>
      </c>
      <c r="L24" s="82"/>
    </row>
    <row r="25" spans="1:22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22" ht="14.25" x14ac:dyDescent="0.2">
      <c r="A26" s="80" t="s">
        <v>249</v>
      </c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</row>
    <row r="27" spans="1:22" ht="57" x14ac:dyDescent="0.2">
      <c r="A27" s="21" t="s">
        <v>237</v>
      </c>
      <c r="B27" s="21" t="s">
        <v>238</v>
      </c>
      <c r="C27" s="21" t="s">
        <v>239</v>
      </c>
      <c r="D27" s="21" t="s">
        <v>240</v>
      </c>
      <c r="E27" s="21" t="s">
        <v>241</v>
      </c>
      <c r="F27" s="21" t="s">
        <v>242</v>
      </c>
      <c r="G27" s="21" t="s">
        <v>243</v>
      </c>
      <c r="H27" s="21" t="s">
        <v>244</v>
      </c>
      <c r="I27" s="21" t="s">
        <v>245</v>
      </c>
      <c r="J27" s="21" t="s">
        <v>246</v>
      </c>
      <c r="K27" s="21" t="s">
        <v>247</v>
      </c>
      <c r="L27" s="21" t="s">
        <v>248</v>
      </c>
    </row>
    <row r="28" spans="1:22" ht="14.25" x14ac:dyDescent="0.2">
      <c r="A28" s="22">
        <v>1</v>
      </c>
      <c r="B28" s="22">
        <v>2</v>
      </c>
      <c r="C28" s="22">
        <v>3</v>
      </c>
      <c r="D28" s="22">
        <v>4</v>
      </c>
      <c r="E28" s="22">
        <v>5</v>
      </c>
      <c r="F28" s="22">
        <v>6</v>
      </c>
      <c r="G28" s="22">
        <v>7</v>
      </c>
      <c r="H28" s="22">
        <v>8</v>
      </c>
      <c r="I28" s="22">
        <v>9</v>
      </c>
      <c r="J28" s="22">
        <v>10</v>
      </c>
      <c r="K28" s="22">
        <v>11</v>
      </c>
      <c r="L28" s="23">
        <v>12</v>
      </c>
    </row>
    <row r="30" spans="1:22" ht="16.5" x14ac:dyDescent="0.25">
      <c r="A30" s="74" t="str">
        <f>CONCATENATE("Раздел: ",IF(Source!G24&lt;&gt;"Новый раздел", Source!G24, ""))</f>
        <v>Раздел: №1 Стены и перегородки.</v>
      </c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1:22" ht="42.75" x14ac:dyDescent="0.2">
      <c r="A31" s="46" t="str">
        <f>Source!E31</f>
        <v>1</v>
      </c>
      <c r="B31" s="47" t="str">
        <f>Source!F31</f>
        <v>46-02-009-02</v>
      </c>
      <c r="C31" s="47" t="str">
        <f>Source!G31</f>
        <v>Отбивка штукатурки с поверхностей стен и потолков кирпичных (толщ. 50 мм К=50/22=2,27)</v>
      </c>
      <c r="D31" s="31" t="str">
        <f>Source!H31</f>
        <v>100 м2</v>
      </c>
      <c r="E31" s="28">
        <f>Source!I31</f>
        <v>21.041499999999999</v>
      </c>
      <c r="F31" s="32">
        <f>Source!AL31+Source!AM31+Source!AO31</f>
        <v>178</v>
      </c>
      <c r="G31" s="33"/>
      <c r="H31" s="34"/>
      <c r="I31" s="33" t="str">
        <f>Source!BO31</f>
        <v>46-02-009-02</v>
      </c>
      <c r="J31" s="33"/>
      <c r="K31" s="34"/>
      <c r="L31" s="35"/>
      <c r="S31">
        <f>ROUND((Source!FX31/100)*((ROUND(Source!AF31*Source!I31, 2)+ROUND(Source!AE31*Source!I31, 2))), 2)</f>
        <v>9352.23</v>
      </c>
      <c r="T31">
        <f>Source!X31</f>
        <v>282811.46999999997</v>
      </c>
      <c r="U31">
        <f>ROUND((Source!FY31/100)*((ROUND(Source!AF31*Source!I31, 2)+ROUND(Source!AE31*Source!I31, 2))), 2)</f>
        <v>5951.42</v>
      </c>
      <c r="V31">
        <f>Source!Y31</f>
        <v>179970.94</v>
      </c>
    </row>
    <row r="32" spans="1:22" x14ac:dyDescent="0.2">
      <c r="C32" s="24" t="str">
        <f>"Объем: "&amp;Source!I31&amp;"=2104,15/"&amp;"100"</f>
        <v>Объем: 21,0415=2104,15/100</v>
      </c>
    </row>
    <row r="33" spans="1:26" ht="14.25" x14ac:dyDescent="0.2">
      <c r="A33" s="46"/>
      <c r="B33" s="47"/>
      <c r="C33" s="47" t="s">
        <v>250</v>
      </c>
      <c r="D33" s="31"/>
      <c r="E33" s="28"/>
      <c r="F33" s="32">
        <f>Source!AO31</f>
        <v>178</v>
      </c>
      <c r="G33" s="33" t="str">
        <f>Source!DG31</f>
        <v>)*2,27</v>
      </c>
      <c r="H33" s="34">
        <f>ROUND(Source!AF31*Source!I31, 2)</f>
        <v>8502.0300000000007</v>
      </c>
      <c r="I33" s="33"/>
      <c r="J33" s="33">
        <f>IF(Source!BA31&lt;&gt; 0, Source!BA31, 1)</f>
        <v>30.24</v>
      </c>
      <c r="K33" s="34">
        <f>Source!S31</f>
        <v>257101.34</v>
      </c>
      <c r="L33" s="35"/>
      <c r="R33">
        <f>H33</f>
        <v>8502.0300000000007</v>
      </c>
    </row>
    <row r="34" spans="1:26" ht="14.25" x14ac:dyDescent="0.2">
      <c r="A34" s="46"/>
      <c r="B34" s="47"/>
      <c r="C34" s="47" t="s">
        <v>251</v>
      </c>
      <c r="D34" s="31" t="s">
        <v>252</v>
      </c>
      <c r="E34" s="28">
        <f>Source!BZ31</f>
        <v>110</v>
      </c>
      <c r="F34" s="50"/>
      <c r="G34" s="33"/>
      <c r="H34" s="34">
        <f>SUM(S31:S36)</f>
        <v>9352.23</v>
      </c>
      <c r="I34" s="36"/>
      <c r="J34" s="30">
        <f>Source!AT31</f>
        <v>110</v>
      </c>
      <c r="K34" s="34">
        <f>SUM(T31:T36)</f>
        <v>282811.46999999997</v>
      </c>
      <c r="L34" s="35"/>
    </row>
    <row r="35" spans="1:26" ht="14.25" x14ac:dyDescent="0.2">
      <c r="A35" s="46"/>
      <c r="B35" s="47"/>
      <c r="C35" s="47" t="s">
        <v>253</v>
      </c>
      <c r="D35" s="31" t="s">
        <v>252</v>
      </c>
      <c r="E35" s="28">
        <f>Source!CA31</f>
        <v>70</v>
      </c>
      <c r="F35" s="50"/>
      <c r="G35" s="33"/>
      <c r="H35" s="34">
        <f>SUM(U31:U36)</f>
        <v>5951.42</v>
      </c>
      <c r="I35" s="36"/>
      <c r="J35" s="30">
        <f>Source!AU31</f>
        <v>70</v>
      </c>
      <c r="K35" s="34">
        <f>SUM(V31:V36)</f>
        <v>179970.94</v>
      </c>
      <c r="L35" s="35"/>
    </row>
    <row r="36" spans="1:26" ht="14.25" x14ac:dyDescent="0.2">
      <c r="A36" s="48"/>
      <c r="B36" s="49"/>
      <c r="C36" s="49" t="s">
        <v>254</v>
      </c>
      <c r="D36" s="37" t="s">
        <v>255</v>
      </c>
      <c r="E36" s="38">
        <f>Source!AQ31</f>
        <v>22.82</v>
      </c>
      <c r="F36" s="39"/>
      <c r="G36" s="40" t="str">
        <f>Source!DI31</f>
        <v>)*2,27</v>
      </c>
      <c r="H36" s="41"/>
      <c r="I36" s="40"/>
      <c r="J36" s="40"/>
      <c r="K36" s="41"/>
      <c r="L36" s="42">
        <f>Source!U31</f>
        <v>1089.9791580999999</v>
      </c>
    </row>
    <row r="37" spans="1:26" ht="15" x14ac:dyDescent="0.25">
      <c r="G37" s="73">
        <f>H33+H34+H35</f>
        <v>23805.68</v>
      </c>
      <c r="H37" s="73"/>
      <c r="J37" s="73">
        <f>K33+K34+K35</f>
        <v>719883.75</v>
      </c>
      <c r="K37" s="73"/>
      <c r="L37" s="43">
        <f>Source!U31</f>
        <v>1089.9791580999999</v>
      </c>
      <c r="O37" s="25">
        <f>G37</f>
        <v>23805.68</v>
      </c>
      <c r="P37" s="25">
        <f>J37</f>
        <v>719883.75</v>
      </c>
      <c r="Q37" s="25">
        <f>L37</f>
        <v>1089.9791580999999</v>
      </c>
      <c r="W37">
        <f>IF(Source!BI31&lt;=1,H33+H34+H35, 0)</f>
        <v>23805.68</v>
      </c>
      <c r="X37">
        <f>IF(Source!BI31=2,H33+H34+H35, 0)</f>
        <v>0</v>
      </c>
      <c r="Y37">
        <f>IF(Source!BI31=3,H33+H34+H35, 0)</f>
        <v>0</v>
      </c>
      <c r="Z37">
        <f>IF(Source!BI31=4,H33+H34+H35, 0)</f>
        <v>0</v>
      </c>
    </row>
    <row r="38" spans="1:26" ht="66.75" x14ac:dyDescent="0.2">
      <c r="A38" s="46" t="str">
        <f>Source!E33</f>
        <v>2</v>
      </c>
      <c r="B38" s="47" t="s">
        <v>256</v>
      </c>
      <c r="C38" s="47" t="str">
        <f>Source!G33</f>
        <v>Демонтаж штукатурной сетки оцинкованной 25х25х0,9, 0,32 кг/м2 (Примен. Устройство каркаса при оштукатуривании стен)</v>
      </c>
      <c r="D38" s="31" t="str">
        <f>Source!H33</f>
        <v>100 м2</v>
      </c>
      <c r="E38" s="28">
        <f>Source!I33</f>
        <v>21.041499999999999</v>
      </c>
      <c r="F38" s="32">
        <f>Source!AL33+Source!AM33+Source!AO33</f>
        <v>1852.8999999999999</v>
      </c>
      <c r="G38" s="33"/>
      <c r="H38" s="34"/>
      <c r="I38" s="33" t="str">
        <f>Source!BO33</f>
        <v>15-02-037-01</v>
      </c>
      <c r="J38" s="33"/>
      <c r="K38" s="34"/>
      <c r="L38" s="35"/>
      <c r="S38">
        <f>ROUND((Source!FX33/100)*((ROUND(Source!AF33*Source!I33, 2)+ROUND(Source!AE33*Source!I33, 2))), 2)</f>
        <v>3586.15</v>
      </c>
      <c r="T38">
        <f>Source!X33</f>
        <v>108444.89</v>
      </c>
      <c r="U38">
        <f>ROUND((Source!FY33/100)*((ROUND(Source!AF33*Source!I33, 2)+ROUND(Source!AE33*Source!I33, 2))), 2)</f>
        <v>1878.46</v>
      </c>
      <c r="V38">
        <f>Source!Y33</f>
        <v>56804.47</v>
      </c>
    </row>
    <row r="39" spans="1:26" ht="14.25" x14ac:dyDescent="0.2">
      <c r="A39" s="46"/>
      <c r="B39" s="47"/>
      <c r="C39" s="47" t="s">
        <v>250</v>
      </c>
      <c r="D39" s="31"/>
      <c r="E39" s="28"/>
      <c r="F39" s="32">
        <f>Source!AO33</f>
        <v>229.32</v>
      </c>
      <c r="G39" s="33" t="str">
        <f>Source!DG33</f>
        <v>)*0,7</v>
      </c>
      <c r="H39" s="34">
        <f>ROUND(Source!AF33*Source!I33, 2)</f>
        <v>3377.67</v>
      </c>
      <c r="I39" s="33"/>
      <c r="J39" s="33">
        <f>IF(Source!BA33&lt;&gt; 0, Source!BA33, 1)</f>
        <v>30.24</v>
      </c>
      <c r="K39" s="34">
        <f>Source!S33</f>
        <v>102140.61</v>
      </c>
      <c r="L39" s="35"/>
      <c r="R39">
        <f>H39</f>
        <v>3377.67</v>
      </c>
    </row>
    <row r="40" spans="1:26" ht="14.25" x14ac:dyDescent="0.2">
      <c r="A40" s="46"/>
      <c r="B40" s="47"/>
      <c r="C40" s="47" t="s">
        <v>59</v>
      </c>
      <c r="D40" s="31"/>
      <c r="E40" s="28"/>
      <c r="F40" s="32">
        <f>Source!AM33</f>
        <v>11.26</v>
      </c>
      <c r="G40" s="33" t="str">
        <f>Source!DE33</f>
        <v>)*0,7</v>
      </c>
      <c r="H40" s="34">
        <f>ROUND(Source!AD33*Source!I33, 2)</f>
        <v>165.85</v>
      </c>
      <c r="I40" s="33"/>
      <c r="J40" s="33">
        <f>IF(Source!BB33&lt;&gt; 0, Source!BB33, 1)</f>
        <v>9.39</v>
      </c>
      <c r="K40" s="34">
        <f>Source!Q33</f>
        <v>1557.32</v>
      </c>
      <c r="L40" s="35"/>
    </row>
    <row r="41" spans="1:26" ht="14.25" x14ac:dyDescent="0.2">
      <c r="A41" s="46"/>
      <c r="B41" s="47"/>
      <c r="C41" s="47" t="s">
        <v>257</v>
      </c>
      <c r="D41" s="31"/>
      <c r="E41" s="28"/>
      <c r="F41" s="32">
        <f>Source!AN33</f>
        <v>2.56</v>
      </c>
      <c r="G41" s="33" t="str">
        <f>Source!DF33</f>
        <v>)*0,7</v>
      </c>
      <c r="H41" s="44">
        <f>ROUND(Source!AE33*Source!I33, 2)</f>
        <v>37.71</v>
      </c>
      <c r="I41" s="33"/>
      <c r="J41" s="33">
        <f>IF(Source!BS33&lt;&gt; 0, Source!BS33, 1)</f>
        <v>30.24</v>
      </c>
      <c r="K41" s="44">
        <f>Source!R33</f>
        <v>1140.24</v>
      </c>
      <c r="L41" s="35"/>
      <c r="R41">
        <f>H41</f>
        <v>37.71</v>
      </c>
    </row>
    <row r="42" spans="1:26" ht="14.25" x14ac:dyDescent="0.2">
      <c r="A42" s="46"/>
      <c r="B42" s="47"/>
      <c r="C42" s="47" t="s">
        <v>251</v>
      </c>
      <c r="D42" s="31" t="s">
        <v>252</v>
      </c>
      <c r="E42" s="28">
        <f>Source!BZ33</f>
        <v>105</v>
      </c>
      <c r="F42" s="50"/>
      <c r="G42" s="33"/>
      <c r="H42" s="34">
        <f>SUM(S38:S44)</f>
        <v>3586.15</v>
      </c>
      <c r="I42" s="36"/>
      <c r="J42" s="30">
        <f>Source!AT33</f>
        <v>105</v>
      </c>
      <c r="K42" s="34">
        <f>SUM(T38:T44)</f>
        <v>108444.89</v>
      </c>
      <c r="L42" s="35"/>
    </row>
    <row r="43" spans="1:26" ht="14.25" x14ac:dyDescent="0.2">
      <c r="A43" s="46"/>
      <c r="B43" s="47"/>
      <c r="C43" s="47" t="s">
        <v>253</v>
      </c>
      <c r="D43" s="31" t="s">
        <v>252</v>
      </c>
      <c r="E43" s="28">
        <f>Source!CA33</f>
        <v>55</v>
      </c>
      <c r="F43" s="50"/>
      <c r="G43" s="33"/>
      <c r="H43" s="34">
        <f>SUM(U38:U44)</f>
        <v>1878.46</v>
      </c>
      <c r="I43" s="36"/>
      <c r="J43" s="30">
        <f>Source!AU33</f>
        <v>55</v>
      </c>
      <c r="K43" s="34">
        <f>SUM(V38:V44)</f>
        <v>56804.47</v>
      </c>
      <c r="L43" s="35"/>
    </row>
    <row r="44" spans="1:26" ht="14.25" x14ac:dyDescent="0.2">
      <c r="A44" s="48"/>
      <c r="B44" s="49"/>
      <c r="C44" s="49" t="s">
        <v>254</v>
      </c>
      <c r="D44" s="37" t="s">
        <v>255</v>
      </c>
      <c r="E44" s="38">
        <f>Source!AQ33</f>
        <v>24.98</v>
      </c>
      <c r="F44" s="39"/>
      <c r="G44" s="40" t="str">
        <f>Source!DI33</f>
        <v>)*0,7</v>
      </c>
      <c r="H44" s="41"/>
      <c r="I44" s="40"/>
      <c r="J44" s="40"/>
      <c r="K44" s="41"/>
      <c r="L44" s="42">
        <f>Source!U33</f>
        <v>367.931669</v>
      </c>
    </row>
    <row r="45" spans="1:26" ht="15" x14ac:dyDescent="0.25">
      <c r="G45" s="73">
        <f>H39+H40+H42+H43</f>
        <v>9008.130000000001</v>
      </c>
      <c r="H45" s="73"/>
      <c r="J45" s="73">
        <f>K39+K40+K42+K43</f>
        <v>268947.29000000004</v>
      </c>
      <c r="K45" s="73"/>
      <c r="L45" s="43">
        <f>Source!U33</f>
        <v>367.931669</v>
      </c>
      <c r="O45" s="25">
        <f>G45</f>
        <v>9008.130000000001</v>
      </c>
      <c r="P45" s="25">
        <f>J45</f>
        <v>268947.29000000004</v>
      </c>
      <c r="Q45" s="25">
        <f>L45</f>
        <v>367.931669</v>
      </c>
      <c r="W45">
        <f>IF(Source!BI33&lt;=1,H39+H40+H42+H43, 0)</f>
        <v>9008.130000000001</v>
      </c>
      <c r="X45">
        <f>IF(Source!BI33=2,H39+H40+H42+H43, 0)</f>
        <v>0</v>
      </c>
      <c r="Y45">
        <f>IF(Source!BI33=3,H39+H40+H42+H43, 0)</f>
        <v>0</v>
      </c>
      <c r="Z45">
        <f>IF(Source!BI33=4,H39+H40+H42+H43, 0)</f>
        <v>0</v>
      </c>
    </row>
    <row r="47" spans="1:26" ht="15" x14ac:dyDescent="0.25">
      <c r="A47" s="75" t="str">
        <f>CONCATENATE("Итого по разделу: ",IF(Source!G35&lt;&gt;"Новый раздел", Source!G35, ""))</f>
        <v>Итого по разделу: №1 Стены и перегородки.</v>
      </c>
      <c r="B47" s="75"/>
      <c r="C47" s="75"/>
      <c r="D47" s="75"/>
      <c r="E47" s="75"/>
      <c r="F47" s="75"/>
      <c r="G47" s="77">
        <f>SUM(O30:O46)</f>
        <v>32813.81</v>
      </c>
      <c r="H47" s="77"/>
      <c r="I47" s="29"/>
      <c r="J47" s="77">
        <f>SUM(P30:P46)</f>
        <v>988831.04</v>
      </c>
      <c r="K47" s="77"/>
      <c r="L47" s="43">
        <f>SUM(Q30:Q46)</f>
        <v>1457.9108271</v>
      </c>
    </row>
    <row r="51" spans="1:26" ht="16.5" x14ac:dyDescent="0.25">
      <c r="A51" s="74" t="str">
        <f>CONCATENATE("Раздел: ",IF(Source!G64&lt;&gt;"Новый раздел", Source!G64, ""))</f>
        <v>Раздел: №2 Потолки.</v>
      </c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</row>
    <row r="52" spans="1:26" ht="42.75" x14ac:dyDescent="0.2">
      <c r="A52" s="46" t="str">
        <f>Source!E71</f>
        <v>3</v>
      </c>
      <c r="B52" s="47" t="str">
        <f>Source!F71</f>
        <v>46-02-009-02</v>
      </c>
      <c r="C52" s="47" t="str">
        <f>Source!G71</f>
        <v>Отбивка штукатурки с поверхностей стен и потолков кирпичных (толщ. 50 мм К=50/22=2,27)</v>
      </c>
      <c r="D52" s="31" t="str">
        <f>Source!H71</f>
        <v>100 м2</v>
      </c>
      <c r="E52" s="28">
        <f>Source!I71</f>
        <v>3.8868999999999998</v>
      </c>
      <c r="F52" s="32">
        <f>Source!AL71+Source!AM71+Source!AO71</f>
        <v>178</v>
      </c>
      <c r="G52" s="33"/>
      <c r="H52" s="34"/>
      <c r="I52" s="33" t="str">
        <f>Source!BO71</f>
        <v>46-02-009-02</v>
      </c>
      <c r="J52" s="33"/>
      <c r="K52" s="34"/>
      <c r="L52" s="35"/>
      <c r="S52">
        <f>ROUND((Source!FX71/100)*((ROUND(Source!AF71*Source!I71, 2)+ROUND(Source!AE71*Source!I71, 2))), 2)</f>
        <v>1727.59</v>
      </c>
      <c r="T52">
        <f>Source!X71</f>
        <v>52242.47</v>
      </c>
      <c r="U52">
        <f>ROUND((Source!FY71/100)*((ROUND(Source!AF71*Source!I71, 2)+ROUND(Source!AE71*Source!I71, 2))), 2)</f>
        <v>1099.3800000000001</v>
      </c>
      <c r="V52">
        <f>Source!Y71</f>
        <v>33245.21</v>
      </c>
    </row>
    <row r="53" spans="1:26" x14ac:dyDescent="0.2">
      <c r="C53" s="24" t="str">
        <f>"Объем: "&amp;Source!I71&amp;"=388,69/"&amp;"100"</f>
        <v>Объем: 3,8869=388,69/100</v>
      </c>
    </row>
    <row r="54" spans="1:26" ht="14.25" x14ac:dyDescent="0.2">
      <c r="A54" s="46"/>
      <c r="B54" s="47"/>
      <c r="C54" s="47" t="s">
        <v>250</v>
      </c>
      <c r="D54" s="31"/>
      <c r="E54" s="28"/>
      <c r="F54" s="32">
        <f>Source!AO71</f>
        <v>178</v>
      </c>
      <c r="G54" s="33" t="str">
        <f>Source!DG71</f>
        <v>)*2,27</v>
      </c>
      <c r="H54" s="34">
        <f>ROUND(Source!AF71*Source!I71, 2)</f>
        <v>1570.54</v>
      </c>
      <c r="I54" s="33"/>
      <c r="J54" s="33">
        <f>IF(Source!BA71&lt;&gt; 0, Source!BA71, 1)</f>
        <v>30.24</v>
      </c>
      <c r="K54" s="34">
        <f>Source!S71</f>
        <v>47493.15</v>
      </c>
      <c r="L54" s="35"/>
      <c r="R54">
        <f>H54</f>
        <v>1570.54</v>
      </c>
    </row>
    <row r="55" spans="1:26" ht="14.25" x14ac:dyDescent="0.2">
      <c r="A55" s="46"/>
      <c r="B55" s="47"/>
      <c r="C55" s="47" t="s">
        <v>251</v>
      </c>
      <c r="D55" s="31" t="s">
        <v>252</v>
      </c>
      <c r="E55" s="28">
        <f>Source!BZ71</f>
        <v>110</v>
      </c>
      <c r="F55" s="50"/>
      <c r="G55" s="33"/>
      <c r="H55" s="34">
        <f>SUM(S52:S57)</f>
        <v>1727.59</v>
      </c>
      <c r="I55" s="36"/>
      <c r="J55" s="30">
        <f>Source!AT71</f>
        <v>110</v>
      </c>
      <c r="K55" s="34">
        <f>SUM(T52:T57)</f>
        <v>52242.47</v>
      </c>
      <c r="L55" s="35"/>
    </row>
    <row r="56" spans="1:26" ht="14.25" x14ac:dyDescent="0.2">
      <c r="A56" s="46"/>
      <c r="B56" s="47"/>
      <c r="C56" s="47" t="s">
        <v>253</v>
      </c>
      <c r="D56" s="31" t="s">
        <v>252</v>
      </c>
      <c r="E56" s="28">
        <f>Source!CA71</f>
        <v>70</v>
      </c>
      <c r="F56" s="50"/>
      <c r="G56" s="33"/>
      <c r="H56" s="34">
        <f>SUM(U52:U57)</f>
        <v>1099.3800000000001</v>
      </c>
      <c r="I56" s="36"/>
      <c r="J56" s="30">
        <f>Source!AU71</f>
        <v>70</v>
      </c>
      <c r="K56" s="34">
        <f>SUM(V52:V57)</f>
        <v>33245.21</v>
      </c>
      <c r="L56" s="35"/>
    </row>
    <row r="57" spans="1:26" ht="14.25" x14ac:dyDescent="0.2">
      <c r="A57" s="48"/>
      <c r="B57" s="49"/>
      <c r="C57" s="49" t="s">
        <v>254</v>
      </c>
      <c r="D57" s="37" t="s">
        <v>255</v>
      </c>
      <c r="E57" s="38">
        <f>Source!AQ71</f>
        <v>22.82</v>
      </c>
      <c r="F57" s="39"/>
      <c r="G57" s="40" t="str">
        <f>Source!DI71</f>
        <v>)*2,27</v>
      </c>
      <c r="H57" s="41"/>
      <c r="I57" s="40"/>
      <c r="J57" s="40"/>
      <c r="K57" s="41"/>
      <c r="L57" s="42">
        <f>Source!U71</f>
        <v>201.34686166</v>
      </c>
    </row>
    <row r="58" spans="1:26" ht="15" x14ac:dyDescent="0.25">
      <c r="G58" s="73">
        <f>H54+H55+H56</f>
        <v>4397.51</v>
      </c>
      <c r="H58" s="73"/>
      <c r="J58" s="73">
        <f>K54+K55+K56</f>
        <v>132980.82999999999</v>
      </c>
      <c r="K58" s="73"/>
      <c r="L58" s="43">
        <f>Source!U71</f>
        <v>201.34686166</v>
      </c>
      <c r="O58" s="25">
        <f>G58</f>
        <v>4397.51</v>
      </c>
      <c r="P58" s="25">
        <f>J58</f>
        <v>132980.82999999999</v>
      </c>
      <c r="Q58" s="25">
        <f>L58</f>
        <v>201.34686166</v>
      </c>
      <c r="W58">
        <f>IF(Source!BI71&lt;=1,H54+H55+H56, 0)</f>
        <v>4397.51</v>
      </c>
      <c r="X58">
        <f>IF(Source!BI71=2,H54+H55+H56, 0)</f>
        <v>0</v>
      </c>
      <c r="Y58">
        <f>IF(Source!BI71=3,H54+H55+H56, 0)</f>
        <v>0</v>
      </c>
      <c r="Z58">
        <f>IF(Source!BI71=4,H54+H55+H56, 0)</f>
        <v>0</v>
      </c>
    </row>
    <row r="59" spans="1:26" ht="66.75" x14ac:dyDescent="0.2">
      <c r="A59" s="46" t="str">
        <f>Source!E73</f>
        <v>4</v>
      </c>
      <c r="B59" s="47" t="s">
        <v>256</v>
      </c>
      <c r="C59" s="47" t="str">
        <f>Source!G73</f>
        <v>Демонтаж штукатурной сетки оцинкованной 25х25х0,9, 0,32 кг/м2 (Примен. Устройство каркаса при оштукатуривании стен)</v>
      </c>
      <c r="D59" s="31" t="str">
        <f>Source!H73</f>
        <v>100 м2</v>
      </c>
      <c r="E59" s="28">
        <f>Source!I73</f>
        <v>3.8868999999999998</v>
      </c>
      <c r="F59" s="32">
        <f>Source!AL73+Source!AM73+Source!AO73</f>
        <v>1852.8999999999999</v>
      </c>
      <c r="G59" s="33"/>
      <c r="H59" s="34"/>
      <c r="I59" s="33" t="str">
        <f>Source!BO73</f>
        <v>15-02-037-01</v>
      </c>
      <c r="J59" s="33"/>
      <c r="K59" s="34"/>
      <c r="L59" s="35"/>
      <c r="S59">
        <f>ROUND((Source!FX73/100)*((ROUND(Source!AF73*Source!I73, 2)+ROUND(Source!AE73*Source!I73, 2))), 2)</f>
        <v>662.46</v>
      </c>
      <c r="T59">
        <f>Source!X73</f>
        <v>20032.53</v>
      </c>
      <c r="U59">
        <f>ROUND((Source!FY73/100)*((ROUND(Source!AF73*Source!I73, 2)+ROUND(Source!AE73*Source!I73, 2))), 2)</f>
        <v>347</v>
      </c>
      <c r="V59">
        <f>Source!Y73</f>
        <v>10493.23</v>
      </c>
    </row>
    <row r="60" spans="1:26" ht="14.25" x14ac:dyDescent="0.2">
      <c r="A60" s="46"/>
      <c r="B60" s="47"/>
      <c r="C60" s="47" t="s">
        <v>250</v>
      </c>
      <c r="D60" s="31"/>
      <c r="E60" s="28"/>
      <c r="F60" s="32">
        <f>Source!AO73</f>
        <v>229.32</v>
      </c>
      <c r="G60" s="33" t="str">
        <f>Source!DG73</f>
        <v>)*0,7</v>
      </c>
      <c r="H60" s="34">
        <f>ROUND(Source!AF73*Source!I73, 2)</f>
        <v>623.94000000000005</v>
      </c>
      <c r="I60" s="33"/>
      <c r="J60" s="33">
        <f>IF(Source!BA73&lt;&gt; 0, Source!BA73, 1)</f>
        <v>30.24</v>
      </c>
      <c r="K60" s="34">
        <f>Source!S73</f>
        <v>18867.97</v>
      </c>
      <c r="L60" s="35"/>
      <c r="R60">
        <f>H60</f>
        <v>623.94000000000005</v>
      </c>
    </row>
    <row r="61" spans="1:26" ht="14.25" x14ac:dyDescent="0.2">
      <c r="A61" s="46"/>
      <c r="B61" s="47"/>
      <c r="C61" s="47" t="s">
        <v>59</v>
      </c>
      <c r="D61" s="31"/>
      <c r="E61" s="28"/>
      <c r="F61" s="32">
        <f>Source!AM73</f>
        <v>11.26</v>
      </c>
      <c r="G61" s="33" t="str">
        <f>Source!DE73</f>
        <v>)*0,7</v>
      </c>
      <c r="H61" s="34">
        <f>ROUND(Source!AD73*Source!I73, 2)</f>
        <v>30.64</v>
      </c>
      <c r="I61" s="33"/>
      <c r="J61" s="33">
        <f>IF(Source!BB73&lt;&gt; 0, Source!BB73, 1)</f>
        <v>9.39</v>
      </c>
      <c r="K61" s="34">
        <f>Source!Q73</f>
        <v>287.68</v>
      </c>
      <c r="L61" s="35"/>
    </row>
    <row r="62" spans="1:26" ht="14.25" x14ac:dyDescent="0.2">
      <c r="A62" s="46"/>
      <c r="B62" s="47"/>
      <c r="C62" s="47" t="s">
        <v>257</v>
      </c>
      <c r="D62" s="31"/>
      <c r="E62" s="28"/>
      <c r="F62" s="32">
        <f>Source!AN73</f>
        <v>2.56</v>
      </c>
      <c r="G62" s="33" t="str">
        <f>Source!DF73</f>
        <v>)*0,7</v>
      </c>
      <c r="H62" s="44">
        <f>ROUND(Source!AE73*Source!I73, 2)</f>
        <v>6.97</v>
      </c>
      <c r="I62" s="33"/>
      <c r="J62" s="33">
        <f>IF(Source!BS73&lt;&gt; 0, Source!BS73, 1)</f>
        <v>30.24</v>
      </c>
      <c r="K62" s="44">
        <f>Source!R73</f>
        <v>210.63</v>
      </c>
      <c r="L62" s="35"/>
      <c r="R62">
        <f>H62</f>
        <v>6.97</v>
      </c>
    </row>
    <row r="63" spans="1:26" ht="14.25" x14ac:dyDescent="0.2">
      <c r="A63" s="46"/>
      <c r="B63" s="47"/>
      <c r="C63" s="47" t="s">
        <v>251</v>
      </c>
      <c r="D63" s="31" t="s">
        <v>252</v>
      </c>
      <c r="E63" s="28">
        <f>Source!BZ73</f>
        <v>105</v>
      </c>
      <c r="F63" s="50"/>
      <c r="G63" s="33"/>
      <c r="H63" s="34">
        <f>SUM(S59:S65)</f>
        <v>662.46</v>
      </c>
      <c r="I63" s="36"/>
      <c r="J63" s="30">
        <f>Source!AT73</f>
        <v>105</v>
      </c>
      <c r="K63" s="34">
        <f>SUM(T59:T65)</f>
        <v>20032.53</v>
      </c>
      <c r="L63" s="35"/>
    </row>
    <row r="64" spans="1:26" ht="14.25" x14ac:dyDescent="0.2">
      <c r="A64" s="46"/>
      <c r="B64" s="47"/>
      <c r="C64" s="47" t="s">
        <v>253</v>
      </c>
      <c r="D64" s="31" t="s">
        <v>252</v>
      </c>
      <c r="E64" s="28">
        <f>Source!CA73</f>
        <v>55</v>
      </c>
      <c r="F64" s="50"/>
      <c r="G64" s="33"/>
      <c r="H64" s="34">
        <f>SUM(U59:U65)</f>
        <v>347</v>
      </c>
      <c r="I64" s="36"/>
      <c r="J64" s="30">
        <f>Source!AU73</f>
        <v>55</v>
      </c>
      <c r="K64" s="34">
        <f>SUM(V59:V65)</f>
        <v>10493.23</v>
      </c>
      <c r="L64" s="35"/>
    </row>
    <row r="65" spans="1:26" ht="14.25" x14ac:dyDescent="0.2">
      <c r="A65" s="48"/>
      <c r="B65" s="49"/>
      <c r="C65" s="49" t="s">
        <v>254</v>
      </c>
      <c r="D65" s="37" t="s">
        <v>255</v>
      </c>
      <c r="E65" s="38">
        <f>Source!AQ73</f>
        <v>24.98</v>
      </c>
      <c r="F65" s="39"/>
      <c r="G65" s="40" t="str">
        <f>Source!DI73</f>
        <v>)*0,7</v>
      </c>
      <c r="H65" s="41"/>
      <c r="I65" s="40"/>
      <c r="J65" s="40"/>
      <c r="K65" s="41"/>
      <c r="L65" s="42">
        <f>Source!U73</f>
        <v>67.966333399999996</v>
      </c>
    </row>
    <row r="66" spans="1:26" ht="15" x14ac:dyDescent="0.25">
      <c r="G66" s="73">
        <f>H60+H61+H63+H64</f>
        <v>1664.04</v>
      </c>
      <c r="H66" s="73"/>
      <c r="J66" s="73">
        <f>K60+K61+K63+K64</f>
        <v>49681.41</v>
      </c>
      <c r="K66" s="73"/>
      <c r="L66" s="43">
        <f>Source!U73</f>
        <v>67.966333399999996</v>
      </c>
      <c r="O66" s="25">
        <f>G66</f>
        <v>1664.04</v>
      </c>
      <c r="P66" s="25">
        <f>J66</f>
        <v>49681.41</v>
      </c>
      <c r="Q66" s="25">
        <f>L66</f>
        <v>67.966333399999996</v>
      </c>
      <c r="W66">
        <f>IF(Source!BI73&lt;=1,H60+H61+H63+H64, 0)</f>
        <v>1664.04</v>
      </c>
      <c r="X66">
        <f>IF(Source!BI73=2,H60+H61+H63+H64, 0)</f>
        <v>0</v>
      </c>
      <c r="Y66">
        <f>IF(Source!BI73=3,H60+H61+H63+H64, 0)</f>
        <v>0</v>
      </c>
      <c r="Z66">
        <f>IF(Source!BI73=4,H60+H61+H63+H64, 0)</f>
        <v>0</v>
      </c>
    </row>
    <row r="68" spans="1:26" ht="15" x14ac:dyDescent="0.25">
      <c r="A68" s="75" t="str">
        <f>CONCATENATE("Итого по разделу: ",IF(Source!G75&lt;&gt;"Новый раздел", Source!G75, ""))</f>
        <v>Итого по разделу: №2 Потолки.</v>
      </c>
      <c r="B68" s="75"/>
      <c r="C68" s="75"/>
      <c r="D68" s="75"/>
      <c r="E68" s="75"/>
      <c r="F68" s="75"/>
      <c r="G68" s="77">
        <f>SUM(O51:O67)</f>
        <v>6061.55</v>
      </c>
      <c r="H68" s="77"/>
      <c r="I68" s="29"/>
      <c r="J68" s="77">
        <f>SUM(P51:P67)</f>
        <v>182662.24</v>
      </c>
      <c r="K68" s="77"/>
      <c r="L68" s="43">
        <f>SUM(Q51:Q67)</f>
        <v>269.31319506</v>
      </c>
    </row>
    <row r="72" spans="1:26" ht="16.5" x14ac:dyDescent="0.25">
      <c r="A72" s="74" t="str">
        <f>CONCATENATE("Раздел: ",IF(Source!G104&lt;&gt;"Новый раздел", Source!G104, ""))</f>
        <v>Раздел: №3  Прочие работы.</v>
      </c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</row>
    <row r="73" spans="1:26" ht="28.5" x14ac:dyDescent="0.2">
      <c r="A73" s="46" t="str">
        <f>Source!E109</f>
        <v>5</v>
      </c>
      <c r="B73" s="47" t="str">
        <f>Source!F109</f>
        <v>69-15-1</v>
      </c>
      <c r="C73" s="47" t="str">
        <f>Source!G109</f>
        <v>Затаривание строительного мусора в мешки</v>
      </c>
      <c r="D73" s="31" t="str">
        <f>Source!H109</f>
        <v>т</v>
      </c>
      <c r="E73" s="28">
        <f>Source!I109</f>
        <v>207.5</v>
      </c>
      <c r="F73" s="32">
        <f>Source!AL109+Source!AM109+Source!AO109</f>
        <v>23.81</v>
      </c>
      <c r="G73" s="33"/>
      <c r="H73" s="34"/>
      <c r="I73" s="33" t="str">
        <f>Source!BO109</f>
        <v>69-15-1</v>
      </c>
      <c r="J73" s="33"/>
      <c r="K73" s="34"/>
      <c r="L73" s="35"/>
      <c r="S73">
        <f>ROUND((Source!FX109/100)*((ROUND(Source!AF109*Source!I109, 2)+ROUND(Source!AE109*Source!I109, 2))), 2)</f>
        <v>1199.31</v>
      </c>
      <c r="T73">
        <f>Source!X109</f>
        <v>36267.089999999997</v>
      </c>
      <c r="U73">
        <f>ROUND((Source!FY109/100)*((ROUND(Source!AF109*Source!I109, 2)+ROUND(Source!AE109*Source!I109, 2))), 2)</f>
        <v>768.79</v>
      </c>
      <c r="V73">
        <f>Source!Y109</f>
        <v>23248.14</v>
      </c>
    </row>
    <row r="74" spans="1:26" ht="14.25" x14ac:dyDescent="0.2">
      <c r="A74" s="46"/>
      <c r="B74" s="47"/>
      <c r="C74" s="47" t="s">
        <v>250</v>
      </c>
      <c r="D74" s="31"/>
      <c r="E74" s="28"/>
      <c r="F74" s="32">
        <f>Source!AO109</f>
        <v>7.41</v>
      </c>
      <c r="G74" s="33" t="str">
        <f>Source!DG109</f>
        <v/>
      </c>
      <c r="H74" s="34">
        <f>ROUND(Source!AF109*Source!I109, 2)</f>
        <v>1537.58</v>
      </c>
      <c r="I74" s="33"/>
      <c r="J74" s="33">
        <f>IF(Source!BA109&lt;&gt; 0, Source!BA109, 1)</f>
        <v>30.24</v>
      </c>
      <c r="K74" s="34">
        <f>Source!S109</f>
        <v>46496.27</v>
      </c>
      <c r="L74" s="35"/>
      <c r="R74">
        <f>H74</f>
        <v>1537.58</v>
      </c>
    </row>
    <row r="75" spans="1:26" ht="14.25" x14ac:dyDescent="0.2">
      <c r="A75" s="46"/>
      <c r="B75" s="47"/>
      <c r="C75" s="47" t="s">
        <v>258</v>
      </c>
      <c r="D75" s="31"/>
      <c r="E75" s="28"/>
      <c r="F75" s="32">
        <f>Source!AL109</f>
        <v>16.399999999999999</v>
      </c>
      <c r="G75" s="33" t="str">
        <f>Source!DD109</f>
        <v/>
      </c>
      <c r="H75" s="34">
        <f>ROUND(Source!AC109*Source!I109, 2)</f>
        <v>3403</v>
      </c>
      <c r="I75" s="33"/>
      <c r="J75" s="33">
        <f>IF(Source!BC109&lt;&gt; 0, Source!BC109, 1)</f>
        <v>5.62</v>
      </c>
      <c r="K75" s="34">
        <f>Source!P109</f>
        <v>19124.86</v>
      </c>
      <c r="L75" s="35"/>
    </row>
    <row r="76" spans="1:26" ht="14.25" x14ac:dyDescent="0.2">
      <c r="A76" s="46"/>
      <c r="B76" s="47"/>
      <c r="C76" s="47" t="s">
        <v>251</v>
      </c>
      <c r="D76" s="31" t="s">
        <v>252</v>
      </c>
      <c r="E76" s="28">
        <f>Source!BZ109</f>
        <v>78</v>
      </c>
      <c r="F76" s="50"/>
      <c r="G76" s="33"/>
      <c r="H76" s="34">
        <f>SUM(S73:S78)</f>
        <v>1199.31</v>
      </c>
      <c r="I76" s="36"/>
      <c r="J76" s="30">
        <f>Source!AT109</f>
        <v>78</v>
      </c>
      <c r="K76" s="34">
        <f>SUM(T73:T78)</f>
        <v>36267.089999999997</v>
      </c>
      <c r="L76" s="35"/>
    </row>
    <row r="77" spans="1:26" ht="14.25" x14ac:dyDescent="0.2">
      <c r="A77" s="46"/>
      <c r="B77" s="47"/>
      <c r="C77" s="47" t="s">
        <v>253</v>
      </c>
      <c r="D77" s="31" t="s">
        <v>252</v>
      </c>
      <c r="E77" s="28">
        <f>Source!CA109</f>
        <v>50</v>
      </c>
      <c r="F77" s="50"/>
      <c r="G77" s="33"/>
      <c r="H77" s="34">
        <f>SUM(U73:U78)</f>
        <v>768.79</v>
      </c>
      <c r="I77" s="36"/>
      <c r="J77" s="30">
        <f>Source!AU109</f>
        <v>50</v>
      </c>
      <c r="K77" s="34">
        <f>SUM(V73:V78)</f>
        <v>23248.14</v>
      </c>
      <c r="L77" s="35"/>
    </row>
    <row r="78" spans="1:26" ht="14.25" x14ac:dyDescent="0.2">
      <c r="A78" s="48"/>
      <c r="B78" s="49"/>
      <c r="C78" s="49" t="s">
        <v>254</v>
      </c>
      <c r="D78" s="37" t="s">
        <v>255</v>
      </c>
      <c r="E78" s="38">
        <f>Source!AQ109</f>
        <v>1.03</v>
      </c>
      <c r="F78" s="39"/>
      <c r="G78" s="40" t="str">
        <f>Source!DI109</f>
        <v/>
      </c>
      <c r="H78" s="41"/>
      <c r="I78" s="40"/>
      <c r="J78" s="40"/>
      <c r="K78" s="41"/>
      <c r="L78" s="42">
        <f>Source!U109</f>
        <v>213.72499999999999</v>
      </c>
    </row>
    <row r="79" spans="1:26" ht="15" x14ac:dyDescent="0.25">
      <c r="G79" s="73">
        <f>H74+H75+H76+H77</f>
        <v>6908.6799999999994</v>
      </c>
      <c r="H79" s="73"/>
      <c r="J79" s="73">
        <f>K74+K75+K76+K77</f>
        <v>125136.36</v>
      </c>
      <c r="K79" s="73"/>
      <c r="L79" s="43">
        <f>Source!U109</f>
        <v>213.72499999999999</v>
      </c>
      <c r="O79" s="25">
        <f>G79</f>
        <v>6908.6799999999994</v>
      </c>
      <c r="P79" s="25">
        <f>J79</f>
        <v>125136.36</v>
      </c>
      <c r="Q79" s="25">
        <f>L79</f>
        <v>213.72499999999999</v>
      </c>
      <c r="W79">
        <f>IF(Source!BI109&lt;=1,H74+H75+H76+H77, 0)</f>
        <v>6908.6799999999994</v>
      </c>
      <c r="X79">
        <f>IF(Source!BI109=2,H74+H75+H76+H77, 0)</f>
        <v>0</v>
      </c>
      <c r="Y79">
        <f>IF(Source!BI109=3,H74+H75+H76+H77, 0)</f>
        <v>0</v>
      </c>
      <c r="Z79">
        <f>IF(Source!BI109=4,H74+H75+H76+H77, 0)</f>
        <v>0</v>
      </c>
    </row>
    <row r="80" spans="1:26" ht="57" x14ac:dyDescent="0.2">
      <c r="A80" s="48" t="str">
        <f>Source!E111</f>
        <v>6</v>
      </c>
      <c r="B80" s="49" t="str">
        <f>Source!F111</f>
        <v>т01-01-01-045</v>
      </c>
      <c r="C80" s="49" t="str">
        <f>Source!G111</f>
        <v>Погрузочные работы при автомобильных перевозках прочих материалов, деталей (с использованием погрузчика)</v>
      </c>
      <c r="D80" s="37" t="str">
        <f>Source!H111</f>
        <v>1 Т ГРУЗА</v>
      </c>
      <c r="E80" s="38">
        <f>Source!I111</f>
        <v>207.5</v>
      </c>
      <c r="F80" s="39">
        <f>Source!AK111</f>
        <v>17.95</v>
      </c>
      <c r="G80" s="40" t="str">
        <f>Source!DC111</f>
        <v/>
      </c>
      <c r="H80" s="41">
        <f>ROUND(Source!AB111*Source!I111, 2)</f>
        <v>3724.63</v>
      </c>
      <c r="I80" s="40" t="str">
        <f>Source!BO111</f>
        <v>т01-01-01-045</v>
      </c>
      <c r="J80" s="40">
        <f>Source!AZ111</f>
        <v>16.22</v>
      </c>
      <c r="K80" s="41">
        <f>Source!GM111</f>
        <v>60413.42</v>
      </c>
      <c r="L80" s="45"/>
      <c r="S80">
        <f>ROUND((Source!FX111/100)*((ROUND(0*Source!I111, 2)+ROUND(0*Source!I111, 2))), 2)</f>
        <v>0</v>
      </c>
      <c r="T80">
        <f>Source!X111</f>
        <v>0</v>
      </c>
      <c r="U80">
        <f>ROUND((Source!FY111/100)*((ROUND(0*Source!I111, 2)+ROUND(0*Source!I111, 2))), 2)</f>
        <v>0</v>
      </c>
      <c r="V80">
        <f>Source!Y111</f>
        <v>0</v>
      </c>
    </row>
    <row r="81" spans="1:26" ht="15" x14ac:dyDescent="0.25">
      <c r="G81" s="73">
        <f>H80</f>
        <v>3724.63</v>
      </c>
      <c r="H81" s="73"/>
      <c r="J81" s="73">
        <f>K80</f>
        <v>60413.42</v>
      </c>
      <c r="K81" s="73"/>
      <c r="L81" s="43">
        <f>Source!U111</f>
        <v>0</v>
      </c>
      <c r="O81" s="25">
        <f>G81</f>
        <v>3724.63</v>
      </c>
      <c r="P81" s="25">
        <f>J81</f>
        <v>60413.42</v>
      </c>
      <c r="Q81" s="25">
        <f>L81</f>
        <v>0</v>
      </c>
      <c r="W81">
        <f>IF(Source!BI111&lt;=1,H80, 0)</f>
        <v>3724.63</v>
      </c>
      <c r="X81">
        <f>IF(Source!BI111=2,H80, 0)</f>
        <v>0</v>
      </c>
      <c r="Y81">
        <f>IF(Source!BI111=3,H80, 0)</f>
        <v>0</v>
      </c>
      <c r="Z81">
        <f>IF(Source!BI111=4,H80, 0)</f>
        <v>0</v>
      </c>
    </row>
    <row r="82" spans="1:26" ht="68.25" x14ac:dyDescent="0.2">
      <c r="A82" s="48" t="str">
        <f>Source!E113</f>
        <v>7</v>
      </c>
      <c r="B82" s="49" t="str">
        <f>Source!F113</f>
        <v>КП</v>
      </c>
      <c r="C82" s="49" t="s">
        <v>259</v>
      </c>
      <c r="D82" s="37" t="str">
        <f>Source!H113</f>
        <v>контейнер</v>
      </c>
      <c r="E82" s="38">
        <f>Source!I113</f>
        <v>18</v>
      </c>
      <c r="F82" s="39">
        <f>Source!AL113</f>
        <v>2049.0100000000002</v>
      </c>
      <c r="G82" s="40" t="str">
        <f>Source!DD113</f>
        <v/>
      </c>
      <c r="H82" s="41">
        <f>ROUND(Source!AC113*Source!I113, 2)</f>
        <v>36882.18</v>
      </c>
      <c r="I82" s="40" t="str">
        <f>Source!BO113</f>
        <v/>
      </c>
      <c r="J82" s="40">
        <f>IF(Source!BC113&lt;&gt; 0, Source!BC113, 1)</f>
        <v>7.89</v>
      </c>
      <c r="K82" s="41">
        <f>Source!P113</f>
        <v>291000.40000000002</v>
      </c>
      <c r="L82" s="45"/>
      <c r="S82">
        <f>ROUND((Source!FX113/100)*((ROUND(Source!AF113*Source!I113, 2)+ROUND(Source!AE113*Source!I113, 2))), 2)</f>
        <v>0</v>
      </c>
      <c r="T82">
        <f>Source!X113</f>
        <v>0</v>
      </c>
      <c r="U82">
        <f>ROUND((Source!FY113/100)*((ROUND(Source!AF113*Source!I113, 2)+ROUND(Source!AE113*Source!I113, 2))), 2)</f>
        <v>0</v>
      </c>
      <c r="V82">
        <f>Source!Y113</f>
        <v>0</v>
      </c>
    </row>
    <row r="83" spans="1:26" ht="15" x14ac:dyDescent="0.25">
      <c r="G83" s="73">
        <f>H82</f>
        <v>36882.18</v>
      </c>
      <c r="H83" s="73"/>
      <c r="J83" s="73">
        <f>K82</f>
        <v>291000.40000000002</v>
      </c>
      <c r="K83" s="73"/>
      <c r="L83" s="43">
        <f>Source!U113</f>
        <v>0</v>
      </c>
      <c r="O83" s="25">
        <f>G83</f>
        <v>36882.18</v>
      </c>
      <c r="P83" s="25">
        <f>J83</f>
        <v>291000.40000000002</v>
      </c>
      <c r="Q83" s="25">
        <f>L83</f>
        <v>0</v>
      </c>
      <c r="W83">
        <f>IF(Source!BI113&lt;=1,H82, 0)</f>
        <v>0</v>
      </c>
      <c r="X83">
        <f>IF(Source!BI113=2,H82, 0)</f>
        <v>0</v>
      </c>
      <c r="Y83">
        <f>IF(Source!BI113=3,H82, 0)</f>
        <v>0</v>
      </c>
      <c r="Z83">
        <f>IF(Source!BI113=4,H82, 0)</f>
        <v>36882.18</v>
      </c>
    </row>
    <row r="85" spans="1:26" ht="15" x14ac:dyDescent="0.25">
      <c r="A85" s="75" t="str">
        <f>CONCATENATE("Итого по разделу: ",IF(Source!G115&lt;&gt;"Новый раздел", Source!G115, ""))</f>
        <v>Итого по разделу: №3  Прочие работы.</v>
      </c>
      <c r="B85" s="75"/>
      <c r="C85" s="75"/>
      <c r="D85" s="75"/>
      <c r="E85" s="75"/>
      <c r="F85" s="75"/>
      <c r="G85" s="77">
        <f>SUM(O72:O84)</f>
        <v>47515.49</v>
      </c>
      <c r="H85" s="77"/>
      <c r="I85" s="29"/>
      <c r="J85" s="77">
        <f>SUM(P72:P84)</f>
        <v>476550.18000000005</v>
      </c>
      <c r="K85" s="77"/>
      <c r="L85" s="43">
        <f>SUM(Q72:Q84)</f>
        <v>213.72499999999999</v>
      </c>
    </row>
    <row r="89" spans="1:26" ht="15" x14ac:dyDescent="0.25">
      <c r="A89" s="75" t="str">
        <f>CONCATENATE("Итого по локальной смете: ",IF(Source!G144&lt;&gt;"Новая локальная смета", Source!G144, ""))</f>
        <v xml:space="preserve">Итого по локальной смете: </v>
      </c>
      <c r="B89" s="75"/>
      <c r="C89" s="75"/>
      <c r="D89" s="75"/>
      <c r="E89" s="75"/>
      <c r="F89" s="75"/>
      <c r="G89" s="77">
        <f>SUM(O29:O88)</f>
        <v>86390.85</v>
      </c>
      <c r="H89" s="77"/>
      <c r="I89" s="29"/>
      <c r="J89" s="77">
        <f>SUM(P29:P88)</f>
        <v>1648043.46</v>
      </c>
      <c r="K89" s="77"/>
      <c r="L89" s="43">
        <f>SUM(Q29:Q88)</f>
        <v>1940.9490221599999</v>
      </c>
    </row>
    <row r="92" spans="1:26" ht="14.25" x14ac:dyDescent="0.2">
      <c r="C92" s="78" t="str">
        <f>Source!H172</f>
        <v>Итого</v>
      </c>
      <c r="D92" s="78"/>
      <c r="E92" s="78"/>
      <c r="F92" s="78"/>
      <c r="G92" s="78"/>
      <c r="H92" s="78"/>
      <c r="I92" s="78"/>
      <c r="J92" s="79">
        <f>IF(Source!P172=0, "", Source!P172)</f>
        <v>1648043.46</v>
      </c>
      <c r="K92" s="79"/>
    </row>
    <row r="93" spans="1:26" ht="14.25" x14ac:dyDescent="0.2">
      <c r="C93" s="78" t="str">
        <f>Source!H175</f>
        <v>Зимнее удорожание 1,41%</v>
      </c>
      <c r="D93" s="78"/>
      <c r="E93" s="78"/>
      <c r="F93" s="78"/>
      <c r="G93" s="78"/>
      <c r="H93" s="78"/>
      <c r="I93" s="78"/>
      <c r="J93" s="79">
        <f>IF(Source!P175=0, "", Source!P175)</f>
        <v>19134.310000000001</v>
      </c>
      <c r="K93" s="79"/>
    </row>
    <row r="94" spans="1:26" ht="31.5" customHeight="1" x14ac:dyDescent="0.25">
      <c r="C94" s="75" t="str">
        <f>Source!H176</f>
        <v>Итого с ЗУ</v>
      </c>
      <c r="D94" s="75"/>
      <c r="E94" s="75"/>
      <c r="F94" s="75"/>
      <c r="G94" s="75"/>
      <c r="H94" s="75"/>
      <c r="I94" s="75"/>
      <c r="J94" s="77">
        <f>IF(Source!P176=0, "", Source!P176)</f>
        <v>1667177.77</v>
      </c>
      <c r="K94" s="77"/>
    </row>
    <row r="95" spans="1:26" ht="15" x14ac:dyDescent="0.25">
      <c r="C95" s="75" t="str">
        <f>Source!H177</f>
        <v>НДС 20%</v>
      </c>
      <c r="D95" s="75"/>
      <c r="E95" s="75"/>
      <c r="F95" s="75"/>
      <c r="G95" s="75"/>
      <c r="H95" s="75"/>
      <c r="I95" s="75"/>
      <c r="J95" s="77">
        <f>IF(Source!P177=0, "", Source!P177)</f>
        <v>333435.55</v>
      </c>
      <c r="K95" s="77"/>
    </row>
    <row r="96" spans="1:26" ht="15" x14ac:dyDescent="0.25">
      <c r="C96" s="75" t="str">
        <f>Source!H178</f>
        <v>ВСЕГО С НДС</v>
      </c>
      <c r="D96" s="75"/>
      <c r="E96" s="75"/>
      <c r="F96" s="75"/>
      <c r="G96" s="75"/>
      <c r="H96" s="75"/>
      <c r="I96" s="75"/>
      <c r="J96" s="77">
        <f>IF(Source!P178=0, "", Source!P178)</f>
        <v>2000613.32</v>
      </c>
      <c r="K96" s="77"/>
    </row>
    <row r="99" spans="1:12" ht="14.25" x14ac:dyDescent="0.2">
      <c r="A99" s="27" t="s">
        <v>260</v>
      </c>
      <c r="B99" s="27"/>
      <c r="C99" s="28" t="s">
        <v>261</v>
      </c>
      <c r="D99" s="26" t="str">
        <f>IF(Source!AC12&lt;&gt;"", Source!AC12," ")</f>
        <v xml:space="preserve"> </v>
      </c>
      <c r="E99" s="26"/>
      <c r="F99" s="26"/>
      <c r="G99" s="26"/>
      <c r="H99" s="26"/>
      <c r="I99" s="14"/>
      <c r="J99" s="14"/>
      <c r="K99" s="14"/>
      <c r="L99" s="14"/>
    </row>
    <row r="100" spans="1:12" ht="14.25" x14ac:dyDescent="0.2">
      <c r="A100" s="14"/>
      <c r="B100" s="14"/>
      <c r="C100" s="28"/>
      <c r="D100" s="76" t="s">
        <v>262</v>
      </c>
      <c r="E100" s="76"/>
      <c r="F100" s="76"/>
      <c r="G100" s="76"/>
      <c r="H100" s="76"/>
      <c r="I100" s="14"/>
      <c r="J100" s="14"/>
      <c r="K100" s="14"/>
      <c r="L100" s="14"/>
    </row>
    <row r="101" spans="1:12" ht="14.25" x14ac:dyDescent="0.2">
      <c r="A101" s="14"/>
      <c r="B101" s="14"/>
      <c r="C101" s="28"/>
      <c r="D101" s="14"/>
      <c r="E101" s="14"/>
      <c r="F101" s="14"/>
      <c r="G101" s="14"/>
      <c r="H101" s="14"/>
      <c r="I101" s="14"/>
      <c r="J101" s="14"/>
      <c r="K101" s="14"/>
      <c r="L101" s="14"/>
    </row>
    <row r="102" spans="1:12" ht="14.25" x14ac:dyDescent="0.2">
      <c r="A102" s="27" t="s">
        <v>260</v>
      </c>
      <c r="B102" s="27"/>
      <c r="C102" s="28" t="s">
        <v>263</v>
      </c>
      <c r="D102" s="26" t="str">
        <f>IF(Source!AE12&lt;&gt;"", Source!AE12," ")</f>
        <v xml:space="preserve"> </v>
      </c>
      <c r="E102" s="26"/>
      <c r="F102" s="26"/>
      <c r="G102" s="26"/>
      <c r="H102" s="26"/>
      <c r="I102" s="20"/>
      <c r="J102" s="14"/>
      <c r="K102" s="14"/>
      <c r="L102" s="14"/>
    </row>
    <row r="103" spans="1:12" ht="14.25" x14ac:dyDescent="0.2">
      <c r="A103" s="14"/>
      <c r="B103" s="14"/>
      <c r="C103" s="14"/>
      <c r="D103" s="76" t="s">
        <v>262</v>
      </c>
      <c r="E103" s="76"/>
      <c r="F103" s="76"/>
      <c r="G103" s="76"/>
      <c r="H103" s="76"/>
      <c r="I103" s="14"/>
      <c r="J103" s="14"/>
      <c r="K103" s="14"/>
      <c r="L103" s="14"/>
    </row>
  </sheetData>
  <mergeCells count="81">
    <mergeCell ref="C18:F18"/>
    <mergeCell ref="G18:H18"/>
    <mergeCell ref="I18:J18"/>
    <mergeCell ref="K18:L18"/>
    <mergeCell ref="B2:K2"/>
    <mergeCell ref="B3:K3"/>
    <mergeCell ref="F5:G5"/>
    <mergeCell ref="H5:K5"/>
    <mergeCell ref="B7:K7"/>
    <mergeCell ref="B9:K9"/>
    <mergeCell ref="B11:K11"/>
    <mergeCell ref="B12:K12"/>
    <mergeCell ref="A14:L14"/>
    <mergeCell ref="G17:H17"/>
    <mergeCell ref="I17:J17"/>
    <mergeCell ref="C19:F19"/>
    <mergeCell ref="G19:H19"/>
    <mergeCell ref="I19:J19"/>
    <mergeCell ref="K19:L19"/>
    <mergeCell ref="C20:F20"/>
    <mergeCell ref="G20:H20"/>
    <mergeCell ref="I20:J20"/>
    <mergeCell ref="K20:L20"/>
    <mergeCell ref="C21:F21"/>
    <mergeCell ref="G21:H21"/>
    <mergeCell ref="I21:J21"/>
    <mergeCell ref="K21:L21"/>
    <mergeCell ref="C22:F22"/>
    <mergeCell ref="G22:H22"/>
    <mergeCell ref="I22:J22"/>
    <mergeCell ref="K22:L22"/>
    <mergeCell ref="C23:F23"/>
    <mergeCell ref="G23:H23"/>
    <mergeCell ref="I23:J23"/>
    <mergeCell ref="K23:L23"/>
    <mergeCell ref="C24:F24"/>
    <mergeCell ref="G24:H24"/>
    <mergeCell ref="I24:J24"/>
    <mergeCell ref="K24:L24"/>
    <mergeCell ref="A26:L26"/>
    <mergeCell ref="C92:I92"/>
    <mergeCell ref="J92:K92"/>
    <mergeCell ref="J81:K81"/>
    <mergeCell ref="G81:H81"/>
    <mergeCell ref="J79:K79"/>
    <mergeCell ref="A51:L51"/>
    <mergeCell ref="G47:H47"/>
    <mergeCell ref="J47:K47"/>
    <mergeCell ref="A47:F47"/>
    <mergeCell ref="G79:H79"/>
    <mergeCell ref="A72:L72"/>
    <mergeCell ref="G68:H68"/>
    <mergeCell ref="J68:K68"/>
    <mergeCell ref="G85:H85"/>
    <mergeCell ref="J85:K85"/>
    <mergeCell ref="A85:F85"/>
    <mergeCell ref="C94:I94"/>
    <mergeCell ref="J94:K94"/>
    <mergeCell ref="C93:I93"/>
    <mergeCell ref="J93:K93"/>
    <mergeCell ref="G89:H89"/>
    <mergeCell ref="J89:K89"/>
    <mergeCell ref="A89:F89"/>
    <mergeCell ref="D100:H100"/>
    <mergeCell ref="D103:H103"/>
    <mergeCell ref="C95:I95"/>
    <mergeCell ref="J95:K95"/>
    <mergeCell ref="C96:I96"/>
    <mergeCell ref="J96:K96"/>
    <mergeCell ref="J83:K83"/>
    <mergeCell ref="G83:H83"/>
    <mergeCell ref="J45:K45"/>
    <mergeCell ref="G45:H45"/>
    <mergeCell ref="A68:F68"/>
    <mergeCell ref="J66:K66"/>
    <mergeCell ref="G66:H66"/>
    <mergeCell ref="J37:K37"/>
    <mergeCell ref="G37:H37"/>
    <mergeCell ref="A30:L30"/>
    <mergeCell ref="J58:K58"/>
    <mergeCell ref="G58:H58"/>
  </mergeCells>
  <pageMargins left="0.4" right="0.2" top="0.2" bottom="0.4" header="0.2" footer="0.2"/>
  <pageSetup paperSize="9" scale="60" fitToHeight="0" orientation="portrait" r:id="rId1"/>
  <headerFooter>
    <oddHeader>&amp;L&amp;8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E24"/>
  <sheetViews>
    <sheetView zoomScaleNormal="100" workbookViewId="0"/>
  </sheetViews>
  <sheetFormatPr defaultRowHeight="12.75" x14ac:dyDescent="0.2"/>
  <cols>
    <col min="1" max="1" width="6.7109375" customWidth="1"/>
    <col min="2" max="2" width="75.7109375" customWidth="1"/>
    <col min="3" max="5" width="15.7109375" customWidth="1"/>
  </cols>
  <sheetData>
    <row r="1" spans="1:5" x14ac:dyDescent="0.2">
      <c r="A1" s="11" t="str">
        <f>Source!B1</f>
        <v>Smeta.RU Flash  (495) 974-1589</v>
      </c>
    </row>
    <row r="2" spans="1:5" ht="14.25" x14ac:dyDescent="0.2">
      <c r="A2" s="14"/>
      <c r="B2" s="14"/>
      <c r="C2" s="14"/>
      <c r="D2" s="14"/>
      <c r="E2" s="14"/>
    </row>
    <row r="3" spans="1:5" ht="15.75" x14ac:dyDescent="0.25">
      <c r="A3" s="92" t="str">
        <f>CONCATENATE("Ведомость объемов работ ", IF(Source!AN15&lt;&gt;"", Source!AN15," "))</f>
        <v xml:space="preserve">Ведомость объемов работ  </v>
      </c>
      <c r="B3" s="92"/>
      <c r="C3" s="92"/>
      <c r="D3" s="92"/>
      <c r="E3" s="14"/>
    </row>
    <row r="4" spans="1:5" ht="15" x14ac:dyDescent="0.25">
      <c r="A4" s="93" t="str">
        <f>CONCATENATE("На капитальный ремонт ", Source!F12)</f>
        <v>На капитальный ремонт Новый объект</v>
      </c>
      <c r="B4" s="93"/>
      <c r="C4" s="93"/>
      <c r="D4" s="93"/>
      <c r="E4" s="14"/>
    </row>
    <row r="5" spans="1:5" ht="14.25" x14ac:dyDescent="0.2">
      <c r="A5" s="14"/>
      <c r="B5" s="14"/>
      <c r="C5" s="14"/>
      <c r="D5" s="14"/>
      <c r="E5" s="14"/>
    </row>
    <row r="6" spans="1:5" ht="15" x14ac:dyDescent="0.2">
      <c r="A6" s="14"/>
      <c r="B6" s="51" t="s">
        <v>264</v>
      </c>
      <c r="C6" s="14"/>
      <c r="D6" s="14"/>
      <c r="E6" s="14"/>
    </row>
    <row r="7" spans="1:5" ht="15" x14ac:dyDescent="0.2">
      <c r="A7" s="14"/>
      <c r="B7" s="51" t="s">
        <v>265</v>
      </c>
      <c r="C7" s="14"/>
      <c r="D7" s="14"/>
      <c r="E7" s="14"/>
    </row>
    <row r="8" spans="1:5" ht="15" x14ac:dyDescent="0.2">
      <c r="A8" s="14"/>
      <c r="B8" s="51" t="s">
        <v>266</v>
      </c>
      <c r="C8" s="14"/>
      <c r="D8" s="14"/>
      <c r="E8" s="14"/>
    </row>
    <row r="9" spans="1:5" ht="28.5" x14ac:dyDescent="0.2">
      <c r="A9" s="21" t="s">
        <v>237</v>
      </c>
      <c r="B9" s="21" t="s">
        <v>239</v>
      </c>
      <c r="C9" s="21" t="s">
        <v>267</v>
      </c>
      <c r="D9" s="21" t="s">
        <v>268</v>
      </c>
      <c r="E9" s="52" t="s">
        <v>269</v>
      </c>
    </row>
    <row r="10" spans="1:5" ht="14.25" x14ac:dyDescent="0.2">
      <c r="A10" s="53">
        <v>1</v>
      </c>
      <c r="B10" s="53">
        <v>2</v>
      </c>
      <c r="C10" s="53">
        <v>3</v>
      </c>
      <c r="D10" s="53">
        <v>4</v>
      </c>
      <c r="E10" s="54">
        <v>5</v>
      </c>
    </row>
    <row r="11" spans="1:5" ht="16.5" x14ac:dyDescent="0.25">
      <c r="A11" s="91" t="str">
        <f>CONCATENATE("Локальная смета: ", Source!G20)</f>
        <v>Локальная смета: Новая локальная смета</v>
      </c>
      <c r="B11" s="91"/>
      <c r="C11" s="91"/>
      <c r="D11" s="91"/>
      <c r="E11" s="91"/>
    </row>
    <row r="12" spans="1:5" ht="16.5" x14ac:dyDescent="0.25">
      <c r="A12" s="91" t="str">
        <f>CONCATENATE("Раздел: ", Source!G24)</f>
        <v>Раздел: №1 Стены и перегородки.</v>
      </c>
      <c r="B12" s="91"/>
      <c r="C12" s="91"/>
      <c r="D12" s="91"/>
      <c r="E12" s="91"/>
    </row>
    <row r="13" spans="1:5" ht="28.5" x14ac:dyDescent="0.2">
      <c r="A13" s="59" t="str">
        <f>Source!E30</f>
        <v>1</v>
      </c>
      <c r="B13" s="60" t="str">
        <f>Source!G30</f>
        <v>Отбивка штукатурки с поверхностей стен и потолков кирпичных (толщ. 50 мм К=50/22=2,27)</v>
      </c>
      <c r="C13" s="61" t="str">
        <f>Source!H30</f>
        <v>100 м2</v>
      </c>
      <c r="D13" s="62">
        <f>Source!I30</f>
        <v>21.041499999999999</v>
      </c>
      <c r="E13" s="59"/>
    </row>
    <row r="14" spans="1:5" ht="28.5" x14ac:dyDescent="0.2">
      <c r="A14" s="59" t="str">
        <f>Source!E32</f>
        <v>2</v>
      </c>
      <c r="B14" s="60" t="str">
        <f>Source!G32</f>
        <v>Демонтаж штукатурной сетки оцинкованной 25х25х0,9, 0,32 кг/м2 (Примен. Устройство каркаса при оштукатуривании стен)</v>
      </c>
      <c r="C14" s="61" t="str">
        <f>Source!H32</f>
        <v>100 м2</v>
      </c>
      <c r="D14" s="62">
        <f>Source!I32</f>
        <v>21.041499999999999</v>
      </c>
      <c r="E14" s="59"/>
    </row>
    <row r="15" spans="1:5" ht="16.5" x14ac:dyDescent="0.25">
      <c r="A15" s="91" t="str">
        <f>CONCATENATE("Раздел: ", Source!G64)</f>
        <v>Раздел: №2 Потолки.</v>
      </c>
      <c r="B15" s="91"/>
      <c r="C15" s="91"/>
      <c r="D15" s="91"/>
      <c r="E15" s="91"/>
    </row>
    <row r="16" spans="1:5" ht="28.5" x14ac:dyDescent="0.2">
      <c r="A16" s="59" t="str">
        <f>Source!E70</f>
        <v>3</v>
      </c>
      <c r="B16" s="60" t="str">
        <f>Source!G70</f>
        <v>Отбивка штукатурки с поверхностей стен и потолков кирпичных (толщ. 50 мм К=50/22=2,27)</v>
      </c>
      <c r="C16" s="61" t="str">
        <f>Source!H70</f>
        <v>100 м2</v>
      </c>
      <c r="D16" s="62">
        <f>Source!I70</f>
        <v>3.8868999999999998</v>
      </c>
      <c r="E16" s="59"/>
    </row>
    <row r="17" spans="1:5" ht="28.5" x14ac:dyDescent="0.2">
      <c r="A17" s="59" t="str">
        <f>Source!E72</f>
        <v>4</v>
      </c>
      <c r="B17" s="60" t="str">
        <f>Source!G72</f>
        <v>Демонтаж штукатурной сетки оцинкованной 25х25х0,9, 0,32 кг/м2 (Примен. Устройство каркаса при оштукатуривании стен)</v>
      </c>
      <c r="C17" s="61" t="str">
        <f>Source!H72</f>
        <v>100 м2</v>
      </c>
      <c r="D17" s="62">
        <f>Source!I72</f>
        <v>3.8868999999999998</v>
      </c>
      <c r="E17" s="59"/>
    </row>
    <row r="18" spans="1:5" ht="16.5" x14ac:dyDescent="0.25">
      <c r="A18" s="91" t="str">
        <f>CONCATENATE("Раздел: ", Source!G104)</f>
        <v>Раздел: №3  Прочие работы.</v>
      </c>
      <c r="B18" s="91"/>
      <c r="C18" s="91"/>
      <c r="D18" s="91"/>
      <c r="E18" s="91"/>
    </row>
    <row r="19" spans="1:5" ht="14.25" x14ac:dyDescent="0.2">
      <c r="A19" s="59" t="str">
        <f>Source!E108</f>
        <v>5</v>
      </c>
      <c r="B19" s="60" t="str">
        <f>Source!G108</f>
        <v>Затаривание строительного мусора в мешки</v>
      </c>
      <c r="C19" s="61" t="str">
        <f>Source!H108</f>
        <v>т</v>
      </c>
      <c r="D19" s="62">
        <f>Source!I108</f>
        <v>207.5</v>
      </c>
      <c r="E19" s="59"/>
    </row>
    <row r="20" spans="1:5" ht="28.5" x14ac:dyDescent="0.2">
      <c r="A20" s="59" t="str">
        <f>Source!E110</f>
        <v>6</v>
      </c>
      <c r="B20" s="60" t="str">
        <f>Source!G110</f>
        <v>Погрузочные работы при автомобильных перевозках прочих материалов, деталей (с использованием погрузчика)</v>
      </c>
      <c r="C20" s="61" t="str">
        <f>Source!H110</f>
        <v>1 Т ГРУЗА</v>
      </c>
      <c r="D20" s="62">
        <f>Source!I110</f>
        <v>207.5</v>
      </c>
      <c r="E20" s="59"/>
    </row>
    <row r="21" spans="1:5" ht="28.5" x14ac:dyDescent="0.2">
      <c r="A21" s="55" t="str">
        <f>Source!E112</f>
        <v>7</v>
      </c>
      <c r="B21" s="56" t="str">
        <f>Source!G112</f>
        <v>Вывоз и утилизация строительных отходов контейнером 15 м3 (не более 12т)</v>
      </c>
      <c r="C21" s="57" t="str">
        <f>Source!H112</f>
        <v>контейнер</v>
      </c>
      <c r="D21" s="58">
        <f>Source!I112</f>
        <v>18</v>
      </c>
      <c r="E21" s="55"/>
    </row>
    <row r="24" spans="1:5" ht="15" x14ac:dyDescent="0.25">
      <c r="A24" s="29"/>
      <c r="B24" s="29" t="s">
        <v>270</v>
      </c>
      <c r="C24" s="29"/>
      <c r="D24" s="29"/>
      <c r="E24" s="14"/>
    </row>
  </sheetData>
  <mergeCells count="6">
    <mergeCell ref="A18:E18"/>
    <mergeCell ref="A3:D3"/>
    <mergeCell ref="A4:D4"/>
    <mergeCell ref="A11:E11"/>
    <mergeCell ref="A12:E12"/>
    <mergeCell ref="A15:E15"/>
  </mergeCells>
  <pageMargins left="0.4" right="0.2" top="0.2" bottom="0.4" header="0.2" footer="0.2"/>
  <pageSetup paperSize="9" scale="77" fitToHeight="0" orientation="portrait" r:id="rId1"/>
  <headerFooter>
    <oddHeader>&amp;L&amp;8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21"/>
  <sheetViews>
    <sheetView workbookViewId="0"/>
  </sheetViews>
  <sheetFormatPr defaultRowHeight="12.75" x14ac:dyDescent="0.2"/>
  <sheetData>
    <row r="1" spans="1:23" x14ac:dyDescent="0.2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303</v>
      </c>
    </row>
    <row r="2" spans="1:2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</row>
    <row r="4" spans="1:23" x14ac:dyDescent="0.2">
      <c r="A4" t="s">
        <v>271</v>
      </c>
      <c r="B4" t="s">
        <v>272</v>
      </c>
      <c r="C4" t="s">
        <v>273</v>
      </c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281</v>
      </c>
      <c r="L4" t="s">
        <v>282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</row>
    <row r="6" spans="1:23" x14ac:dyDescent="0.2">
      <c r="A6">
        <f>Source!A20</f>
        <v>3</v>
      </c>
      <c r="B6">
        <v>20</v>
      </c>
      <c r="G6" t="str">
        <f>Source!G20</f>
        <v>Новая локальная смета</v>
      </c>
    </row>
    <row r="7" spans="1:23" x14ac:dyDescent="0.2">
      <c r="A7">
        <f>Source!A24</f>
        <v>4</v>
      </c>
      <c r="B7">
        <v>24</v>
      </c>
      <c r="G7" t="str">
        <f>Source!G24</f>
        <v>№1 Стены и перегородки.</v>
      </c>
    </row>
    <row r="8" spans="1:23" x14ac:dyDescent="0.2">
      <c r="A8">
        <f>Source!A31</f>
        <v>17</v>
      </c>
      <c r="C8">
        <v>1</v>
      </c>
      <c r="D8">
        <v>0</v>
      </c>
      <c r="E8">
        <f>SmtRes!AV4</f>
        <v>1</v>
      </c>
      <c r="F8" t="str">
        <f>SmtRes!I4</f>
        <v>1-100-20</v>
      </c>
      <c r="G8" t="str">
        <f>SmtRes!K4</f>
        <v>Рабочий среднего разряда 2</v>
      </c>
      <c r="H8" t="str">
        <f>SmtRes!O4</f>
        <v>чел.-ч.</v>
      </c>
      <c r="I8">
        <f>SmtRes!Y4*Source!I31</f>
        <v>1089.9791580999999</v>
      </c>
      <c r="J8">
        <f>SmtRes!AO4</f>
        <v>1</v>
      </c>
      <c r="K8">
        <f>SmtRes!AH4</f>
        <v>7.8</v>
      </c>
      <c r="L8">
        <f>SmtRes!DB4</f>
        <v>404.06</v>
      </c>
      <c r="M8">
        <f>ROUND(ROUND(L8*Source!I31, 6)*1, 2)</f>
        <v>8502.0300000000007</v>
      </c>
      <c r="N8">
        <f>SmtRes!AD4</f>
        <v>7.8</v>
      </c>
      <c r="O8">
        <f>ROUND(ROUND(L8*Source!I31, 6)*SmtRes!DA4, 2)</f>
        <v>8502.0300000000007</v>
      </c>
      <c r="P8">
        <f>SmtRes!AG4</f>
        <v>0</v>
      </c>
      <c r="Q8">
        <f>SmtRes!DC4</f>
        <v>0</v>
      </c>
      <c r="R8">
        <f>ROUND(ROUND(Q8*Source!I31, 6)*1, 2)</f>
        <v>0</v>
      </c>
      <c r="S8">
        <f>SmtRes!AC4</f>
        <v>0</v>
      </c>
      <c r="T8">
        <f>ROUND(ROUND(Q8*Source!I31, 6)*SmtRes!AK4, 2)</f>
        <v>0</v>
      </c>
      <c r="U8">
        <f>SmtRes!X4</f>
        <v>735429535</v>
      </c>
      <c r="V8">
        <v>-634705416</v>
      </c>
      <c r="W8">
        <v>-873429878</v>
      </c>
    </row>
    <row r="9" spans="1:23" x14ac:dyDescent="0.2">
      <c r="A9">
        <f>Source!A33</f>
        <v>17</v>
      </c>
      <c r="C9">
        <v>2</v>
      </c>
      <c r="D9">
        <v>0</v>
      </c>
      <c r="E9">
        <f>SmtRes!AV14</f>
        <v>0</v>
      </c>
      <c r="F9" t="str">
        <f>SmtRes!I14</f>
        <v>91.06.06-048</v>
      </c>
      <c r="G9" t="str">
        <f>SmtRes!K14</f>
        <v>Подъемники одномачтовые, грузоподъемность до 500 кг, высота подъема 45 м</v>
      </c>
      <c r="H9" t="str">
        <f>SmtRes!O14</f>
        <v>маш.-ч</v>
      </c>
      <c r="I9">
        <f>SmtRes!Y14*Source!I33</f>
        <v>1.9147764999999999</v>
      </c>
      <c r="J9">
        <f>SmtRes!AO14</f>
        <v>1</v>
      </c>
      <c r="K9">
        <f>SmtRes!AF14</f>
        <v>31.26</v>
      </c>
      <c r="L9">
        <f>SmtRes!DB14</f>
        <v>2.8420000000000001</v>
      </c>
      <c r="M9">
        <f>ROUND(ROUND(L9*Source!I33, 6)*1, 2)</f>
        <v>59.8</v>
      </c>
      <c r="N9">
        <f>SmtRes!AB14</f>
        <v>422.01</v>
      </c>
      <c r="O9">
        <f>ROUND(ROUND(L9*Source!I33, 6)*SmtRes!DA14, 2)</f>
        <v>807.3</v>
      </c>
      <c r="P9">
        <f>SmtRes!AG14</f>
        <v>13.5</v>
      </c>
      <c r="Q9">
        <f>SmtRes!DC14</f>
        <v>1.232</v>
      </c>
      <c r="R9">
        <f>ROUND(ROUND(Q9*Source!I33, 6)*1, 2)</f>
        <v>25.92</v>
      </c>
      <c r="S9">
        <f>SmtRes!AC14</f>
        <v>408.24</v>
      </c>
      <c r="T9">
        <f>ROUND(ROUND(Q9*Source!I33, 6)*SmtRes!AK14, 2)</f>
        <v>783.92</v>
      </c>
      <c r="U9">
        <f>SmtRes!X14</f>
        <v>1188625873</v>
      </c>
      <c r="V9">
        <v>982063922</v>
      </c>
      <c r="W9">
        <v>-1855510276</v>
      </c>
    </row>
    <row r="10" spans="1:23" x14ac:dyDescent="0.2">
      <c r="A10">
        <f>Source!A33</f>
        <v>17</v>
      </c>
      <c r="C10">
        <v>2</v>
      </c>
      <c r="D10">
        <v>0</v>
      </c>
      <c r="E10">
        <f>SmtRes!AV13</f>
        <v>0</v>
      </c>
      <c r="F10" t="str">
        <f>SmtRes!I13</f>
        <v>91.06.05-011</v>
      </c>
      <c r="G10" t="str">
        <f>SmtRes!K13</f>
        <v>Погрузчик, грузоподъемность 5 т</v>
      </c>
      <c r="H10" t="str">
        <f>SmtRes!O13</f>
        <v>маш.-ч</v>
      </c>
      <c r="I10">
        <f>SmtRes!Y13*Source!I33</f>
        <v>1.1783239999999999</v>
      </c>
      <c r="J10">
        <f>SmtRes!AO13</f>
        <v>1</v>
      </c>
      <c r="K10">
        <f>SmtRes!AF13</f>
        <v>89.99</v>
      </c>
      <c r="L10">
        <f>SmtRes!DB13</f>
        <v>5.04</v>
      </c>
      <c r="M10">
        <f>ROUND(ROUND(L10*Source!I33, 6)*1, 2)</f>
        <v>106.05</v>
      </c>
      <c r="N10">
        <f>SmtRes!AB13</f>
        <v>634.42999999999995</v>
      </c>
      <c r="O10">
        <f>ROUND(ROUND(L10*Source!I33, 6)*SmtRes!DA13, 2)</f>
        <v>747.65</v>
      </c>
      <c r="P10">
        <f>SmtRes!AG13</f>
        <v>10.06</v>
      </c>
      <c r="Q10">
        <f>SmtRes!DC13</f>
        <v>0.56000000000000005</v>
      </c>
      <c r="R10">
        <f>ROUND(ROUND(Q10*Source!I33, 6)*1, 2)</f>
        <v>11.78</v>
      </c>
      <c r="S10">
        <f>SmtRes!AC13</f>
        <v>304.20999999999998</v>
      </c>
      <c r="T10">
        <f>ROUND(ROUND(Q10*Source!I33, 6)*SmtRes!AK13, 2)</f>
        <v>356.33</v>
      </c>
      <c r="U10">
        <f>SmtRes!X13</f>
        <v>1225731627</v>
      </c>
      <c r="V10">
        <v>1013383888</v>
      </c>
      <c r="W10">
        <v>-1128887651</v>
      </c>
    </row>
    <row r="11" spans="1:23" x14ac:dyDescent="0.2">
      <c r="A11">
        <f>Source!A33</f>
        <v>17</v>
      </c>
      <c r="C11">
        <v>1</v>
      </c>
      <c r="D11">
        <v>0</v>
      </c>
      <c r="E11">
        <f>SmtRes!AV11</f>
        <v>1</v>
      </c>
      <c r="F11" t="str">
        <f>SmtRes!I11</f>
        <v>1-100-36</v>
      </c>
      <c r="G11" t="str">
        <f>SmtRes!K11</f>
        <v>Рабочий среднего разряда 3.6</v>
      </c>
      <c r="H11" t="str">
        <f>SmtRes!O11</f>
        <v>чел.-ч.</v>
      </c>
      <c r="I11">
        <f>SmtRes!Y11*Source!I33</f>
        <v>367.931669</v>
      </c>
      <c r="J11">
        <f>SmtRes!AO11</f>
        <v>1</v>
      </c>
      <c r="K11">
        <f>SmtRes!AH11</f>
        <v>9.18</v>
      </c>
      <c r="L11">
        <f>SmtRes!DB11</f>
        <v>160.524</v>
      </c>
      <c r="M11">
        <f>ROUND(ROUND(L11*Source!I33, 6)*1, 2)</f>
        <v>3377.67</v>
      </c>
      <c r="N11">
        <f>SmtRes!AD11</f>
        <v>9.18</v>
      </c>
      <c r="O11">
        <f>ROUND(ROUND(L11*Source!I33, 6)*SmtRes!DA11, 2)</f>
        <v>3377.67</v>
      </c>
      <c r="P11">
        <f>SmtRes!AG11</f>
        <v>0</v>
      </c>
      <c r="Q11">
        <f>SmtRes!DC11</f>
        <v>0</v>
      </c>
      <c r="R11">
        <f>ROUND(ROUND(Q11*Source!I33, 6)*1, 2)</f>
        <v>0</v>
      </c>
      <c r="S11">
        <f>SmtRes!AC11</f>
        <v>0</v>
      </c>
      <c r="T11">
        <f>ROUND(ROUND(Q11*Source!I33, 6)*SmtRes!AK11, 2)</f>
        <v>0</v>
      </c>
      <c r="U11">
        <f>SmtRes!X11</f>
        <v>-1027537862</v>
      </c>
      <c r="V11">
        <v>-1923047311</v>
      </c>
      <c r="W11">
        <v>1265760833</v>
      </c>
    </row>
    <row r="12" spans="1:23" x14ac:dyDescent="0.2">
      <c r="A12">
        <f>Source!A64</f>
        <v>4</v>
      </c>
      <c r="B12">
        <v>64</v>
      </c>
      <c r="G12" t="str">
        <f>Source!G64</f>
        <v>№2 Потолки.</v>
      </c>
    </row>
    <row r="13" spans="1:23" x14ac:dyDescent="0.2">
      <c r="A13">
        <f>Source!A71</f>
        <v>17</v>
      </c>
      <c r="C13">
        <v>1</v>
      </c>
      <c r="D13">
        <v>0</v>
      </c>
      <c r="E13">
        <f>SmtRes!AV20</f>
        <v>1</v>
      </c>
      <c r="F13" t="str">
        <f>SmtRes!I20</f>
        <v>1-100-20</v>
      </c>
      <c r="G13" t="str">
        <f>SmtRes!K20</f>
        <v>Рабочий среднего разряда 2</v>
      </c>
      <c r="H13" t="str">
        <f>SmtRes!O20</f>
        <v>чел.-ч.</v>
      </c>
      <c r="I13">
        <f>SmtRes!Y20*Source!I71</f>
        <v>201.34686166</v>
      </c>
      <c r="J13">
        <f>SmtRes!AO20</f>
        <v>1</v>
      </c>
      <c r="K13">
        <f>SmtRes!AH20</f>
        <v>7.8</v>
      </c>
      <c r="L13">
        <f>SmtRes!DB20</f>
        <v>404.06</v>
      </c>
      <c r="M13">
        <f>ROUND(ROUND(L13*Source!I71, 6)*1, 2)</f>
        <v>1570.54</v>
      </c>
      <c r="N13">
        <f>SmtRes!AD20</f>
        <v>7.8</v>
      </c>
      <c r="O13">
        <f>ROUND(ROUND(L13*Source!I71, 6)*SmtRes!DA20, 2)</f>
        <v>1570.54</v>
      </c>
      <c r="P13">
        <f>SmtRes!AG20</f>
        <v>0</v>
      </c>
      <c r="Q13">
        <f>SmtRes!DC20</f>
        <v>0</v>
      </c>
      <c r="R13">
        <f>ROUND(ROUND(Q13*Source!I71, 6)*1, 2)</f>
        <v>0</v>
      </c>
      <c r="S13">
        <f>SmtRes!AC20</f>
        <v>0</v>
      </c>
      <c r="T13">
        <f>ROUND(ROUND(Q13*Source!I71, 6)*SmtRes!AK20, 2)</f>
        <v>0</v>
      </c>
      <c r="U13">
        <f>SmtRes!X20</f>
        <v>735429535</v>
      </c>
      <c r="V13">
        <v>-634705416</v>
      </c>
      <c r="W13">
        <v>-873429878</v>
      </c>
    </row>
    <row r="14" spans="1:23" x14ac:dyDescent="0.2">
      <c r="A14">
        <f>Source!A73</f>
        <v>17</v>
      </c>
      <c r="C14">
        <v>2</v>
      </c>
      <c r="D14">
        <v>0</v>
      </c>
      <c r="E14">
        <f>SmtRes!AV30</f>
        <v>0</v>
      </c>
      <c r="F14" t="str">
        <f>SmtRes!I30</f>
        <v>91.06.06-048</v>
      </c>
      <c r="G14" t="str">
        <f>SmtRes!K30</f>
        <v>Подъемники одномачтовые, грузоподъемность до 500 кг, высота подъема 45 м</v>
      </c>
      <c r="H14" t="str">
        <f>SmtRes!O30</f>
        <v>маш.-ч</v>
      </c>
      <c r="I14">
        <f>SmtRes!Y30*Source!I73</f>
        <v>0.35370789999999996</v>
      </c>
      <c r="J14">
        <f>SmtRes!AO30</f>
        <v>1</v>
      </c>
      <c r="K14">
        <f>SmtRes!AF30</f>
        <v>31.26</v>
      </c>
      <c r="L14">
        <f>SmtRes!DB30</f>
        <v>2.8420000000000001</v>
      </c>
      <c r="M14">
        <f>ROUND(ROUND(L14*Source!I73, 6)*1, 2)</f>
        <v>11.05</v>
      </c>
      <c r="N14">
        <f>SmtRes!AB30</f>
        <v>422.01</v>
      </c>
      <c r="O14">
        <f>ROUND(ROUND(L14*Source!I73, 6)*SmtRes!DA30, 2)</f>
        <v>149.13</v>
      </c>
      <c r="P14">
        <f>SmtRes!AG30</f>
        <v>13.5</v>
      </c>
      <c r="Q14">
        <f>SmtRes!DC30</f>
        <v>1.232</v>
      </c>
      <c r="R14">
        <f>ROUND(ROUND(Q14*Source!I73, 6)*1, 2)</f>
        <v>4.79</v>
      </c>
      <c r="S14">
        <f>SmtRes!AC30</f>
        <v>408.24</v>
      </c>
      <c r="T14">
        <f>ROUND(ROUND(Q14*Source!I73, 6)*SmtRes!AK30, 2)</f>
        <v>144.81</v>
      </c>
      <c r="U14">
        <f>SmtRes!X30</f>
        <v>1188625873</v>
      </c>
      <c r="V14">
        <v>982063922</v>
      </c>
      <c r="W14">
        <v>-1855510276</v>
      </c>
    </row>
    <row r="15" spans="1:23" x14ac:dyDescent="0.2">
      <c r="A15">
        <f>Source!A73</f>
        <v>17</v>
      </c>
      <c r="C15">
        <v>2</v>
      </c>
      <c r="D15">
        <v>0</v>
      </c>
      <c r="E15">
        <f>SmtRes!AV29</f>
        <v>0</v>
      </c>
      <c r="F15" t="str">
        <f>SmtRes!I29</f>
        <v>91.06.05-011</v>
      </c>
      <c r="G15" t="str">
        <f>SmtRes!K29</f>
        <v>Погрузчик, грузоподъемность 5 т</v>
      </c>
      <c r="H15" t="str">
        <f>SmtRes!O29</f>
        <v>маш.-ч</v>
      </c>
      <c r="I15">
        <f>SmtRes!Y29*Source!I73</f>
        <v>0.21766639999999998</v>
      </c>
      <c r="J15">
        <f>SmtRes!AO29</f>
        <v>1</v>
      </c>
      <c r="K15">
        <f>SmtRes!AF29</f>
        <v>89.99</v>
      </c>
      <c r="L15">
        <f>SmtRes!DB29</f>
        <v>5.04</v>
      </c>
      <c r="M15">
        <f>ROUND(ROUND(L15*Source!I73, 6)*1, 2)</f>
        <v>19.59</v>
      </c>
      <c r="N15">
        <f>SmtRes!AB29</f>
        <v>634.42999999999995</v>
      </c>
      <c r="O15">
        <f>ROUND(ROUND(L15*Source!I73, 6)*SmtRes!DA29, 2)</f>
        <v>138.11000000000001</v>
      </c>
      <c r="P15">
        <f>SmtRes!AG29</f>
        <v>10.06</v>
      </c>
      <c r="Q15">
        <f>SmtRes!DC29</f>
        <v>0.56000000000000005</v>
      </c>
      <c r="R15">
        <f>ROUND(ROUND(Q15*Source!I73, 6)*1, 2)</f>
        <v>2.1800000000000002</v>
      </c>
      <c r="S15">
        <f>SmtRes!AC29</f>
        <v>304.20999999999998</v>
      </c>
      <c r="T15">
        <f>ROUND(ROUND(Q15*Source!I73, 6)*SmtRes!AK29, 2)</f>
        <v>65.819999999999993</v>
      </c>
      <c r="U15">
        <f>SmtRes!X29</f>
        <v>-665367104</v>
      </c>
      <c r="V15">
        <v>-1911453925</v>
      </c>
      <c r="W15">
        <v>-600294088</v>
      </c>
    </row>
    <row r="16" spans="1:23" x14ac:dyDescent="0.2">
      <c r="A16">
        <f>Source!A73</f>
        <v>17</v>
      </c>
      <c r="C16">
        <v>1</v>
      </c>
      <c r="D16">
        <v>0</v>
      </c>
      <c r="E16">
        <f>SmtRes!AV27</f>
        <v>1</v>
      </c>
      <c r="F16" t="str">
        <f>SmtRes!I27</f>
        <v>1-100-36</v>
      </c>
      <c r="G16" t="str">
        <f>SmtRes!K27</f>
        <v>Рабочий среднего разряда 3.6</v>
      </c>
      <c r="H16" t="str">
        <f>SmtRes!O27</f>
        <v>чел.-ч.</v>
      </c>
      <c r="I16">
        <f>SmtRes!Y27*Source!I73</f>
        <v>67.966333399999996</v>
      </c>
      <c r="J16">
        <f>SmtRes!AO27</f>
        <v>1</v>
      </c>
      <c r="K16">
        <f>SmtRes!AH27</f>
        <v>9.18</v>
      </c>
      <c r="L16">
        <f>SmtRes!DB27</f>
        <v>160.524</v>
      </c>
      <c r="M16">
        <f>ROUND(ROUND(L16*Source!I73, 6)*1, 2)</f>
        <v>623.94000000000005</v>
      </c>
      <c r="N16">
        <f>SmtRes!AD27</f>
        <v>9.18</v>
      </c>
      <c r="O16">
        <f>ROUND(ROUND(L16*Source!I73, 6)*SmtRes!DA27, 2)</f>
        <v>623.94000000000005</v>
      </c>
      <c r="P16">
        <f>SmtRes!AG27</f>
        <v>0</v>
      </c>
      <c r="Q16">
        <f>SmtRes!DC27</f>
        <v>0</v>
      </c>
      <c r="R16">
        <f>ROUND(ROUND(Q16*Source!I73, 6)*1, 2)</f>
        <v>0</v>
      </c>
      <c r="S16">
        <f>SmtRes!AC27</f>
        <v>0</v>
      </c>
      <c r="T16">
        <f>ROUND(ROUND(Q16*Source!I73, 6)*SmtRes!AK27, 2)</f>
        <v>0</v>
      </c>
      <c r="U16">
        <f>SmtRes!X27</f>
        <v>-1027537862</v>
      </c>
      <c r="V16">
        <v>-1923047311</v>
      </c>
      <c r="W16">
        <v>1265760833</v>
      </c>
    </row>
    <row r="17" spans="1:23" x14ac:dyDescent="0.2">
      <c r="A17">
        <f>Source!A104</f>
        <v>4</v>
      </c>
      <c r="B17">
        <v>104</v>
      </c>
      <c r="G17" t="str">
        <f>Source!G104</f>
        <v>№3  Прочие работы.</v>
      </c>
    </row>
    <row r="18" spans="1:23" x14ac:dyDescent="0.2">
      <c r="A18">
        <f>Source!A109</f>
        <v>17</v>
      </c>
      <c r="C18">
        <v>3</v>
      </c>
      <c r="D18">
        <v>0</v>
      </c>
      <c r="E18">
        <f>SmtRes!AV36</f>
        <v>0</v>
      </c>
      <c r="F18" t="str">
        <f>SmtRes!I36</f>
        <v>01.7.20.03-0003</v>
      </c>
      <c r="G18" t="str">
        <f>SmtRes!K36</f>
        <v>Мешки полипропиленовые (50 кг)</v>
      </c>
      <c r="H18" t="str">
        <f>SmtRes!O36</f>
        <v>100 шт.</v>
      </c>
      <c r="I18">
        <f>SmtRes!Y36*Source!I109</f>
        <v>41.5</v>
      </c>
      <c r="J18">
        <f>SmtRes!AO36</f>
        <v>1</v>
      </c>
      <c r="K18">
        <f>SmtRes!AE36</f>
        <v>82</v>
      </c>
      <c r="L18">
        <f>SmtRes!DB36</f>
        <v>16.399999999999999</v>
      </c>
      <c r="M18">
        <f>ROUND(ROUND(L18*Source!I109, 6)*1, 2)</f>
        <v>3403</v>
      </c>
      <c r="N18">
        <f>SmtRes!AA36</f>
        <v>460.84</v>
      </c>
      <c r="O18">
        <f>ROUND(ROUND(L18*Source!I109, 6)*SmtRes!DA36, 2)</f>
        <v>19124.86</v>
      </c>
      <c r="P18">
        <f>SmtRes!AG36</f>
        <v>0</v>
      </c>
      <c r="Q18">
        <f>SmtRes!DC36</f>
        <v>0</v>
      </c>
      <c r="R18">
        <f>ROUND(ROUND(Q18*Source!I109, 6)*1, 2)</f>
        <v>0</v>
      </c>
      <c r="S18">
        <f>SmtRes!AC36</f>
        <v>0</v>
      </c>
      <c r="T18">
        <f>ROUND(ROUND(Q18*Source!I109, 6)*SmtRes!AK36, 2)</f>
        <v>0</v>
      </c>
      <c r="U18">
        <f>SmtRes!X36</f>
        <v>1092967459</v>
      </c>
      <c r="V18">
        <v>-1866516288</v>
      </c>
      <c r="W18">
        <v>94662333</v>
      </c>
    </row>
    <row r="19" spans="1:23" x14ac:dyDescent="0.2">
      <c r="A19">
        <f>Source!A109</f>
        <v>17</v>
      </c>
      <c r="C19">
        <v>1</v>
      </c>
      <c r="D19">
        <v>0</v>
      </c>
      <c r="E19">
        <f>SmtRes!AV35</f>
        <v>1</v>
      </c>
      <c r="F19" t="str">
        <f>SmtRes!I35</f>
        <v>1-100-10</v>
      </c>
      <c r="G19" t="str">
        <f>SmtRes!K35</f>
        <v>Рабочий среднего разряда 1</v>
      </c>
      <c r="H19" t="str">
        <f>SmtRes!O35</f>
        <v>чел.-ч.</v>
      </c>
      <c r="I19">
        <f>SmtRes!Y35*Source!I109</f>
        <v>213.72499999999999</v>
      </c>
      <c r="J19">
        <f>SmtRes!AO35</f>
        <v>1</v>
      </c>
      <c r="K19">
        <f>SmtRes!AH35</f>
        <v>7.19</v>
      </c>
      <c r="L19">
        <f>SmtRes!DB35</f>
        <v>7.41</v>
      </c>
      <c r="M19">
        <f>ROUND(ROUND(L19*Source!I109, 6)*1, 2)</f>
        <v>1537.58</v>
      </c>
      <c r="N19">
        <f>SmtRes!AD35</f>
        <v>7.19</v>
      </c>
      <c r="O19">
        <f>ROUND(ROUND(L19*Source!I109, 6)*SmtRes!DA35, 2)</f>
        <v>1537.58</v>
      </c>
      <c r="P19">
        <f>SmtRes!AG35</f>
        <v>0</v>
      </c>
      <c r="Q19">
        <f>SmtRes!DC35</f>
        <v>0</v>
      </c>
      <c r="R19">
        <f>ROUND(ROUND(Q19*Source!I109, 6)*1, 2)</f>
        <v>0</v>
      </c>
      <c r="S19">
        <f>SmtRes!AC35</f>
        <v>0</v>
      </c>
      <c r="T19">
        <f>ROUND(ROUND(Q19*Source!I109, 6)*SmtRes!AK35, 2)</f>
        <v>0</v>
      </c>
      <c r="U19">
        <f>SmtRes!X35</f>
        <v>-576067263</v>
      </c>
      <c r="V19">
        <v>-1781947041</v>
      </c>
      <c r="W19">
        <v>1869988465</v>
      </c>
    </row>
    <row r="20" spans="1:23" x14ac:dyDescent="0.2">
      <c r="A20">
        <f>Source!A113</f>
        <v>17</v>
      </c>
      <c r="C20">
        <v>3</v>
      </c>
      <c r="D20">
        <f>Source!BI113</f>
        <v>4</v>
      </c>
      <c r="E20">
        <f>Source!FS113</f>
        <v>0</v>
      </c>
      <c r="F20" t="str">
        <f>Source!F113</f>
        <v>КП</v>
      </c>
      <c r="G20" t="str">
        <f>Source!G113</f>
        <v>Вывоз и утилизация строительных отходов контейнером 15 м3 (не более 12т)</v>
      </c>
      <c r="H20" t="str">
        <f>Source!H113</f>
        <v>контейнер</v>
      </c>
      <c r="I20">
        <f>Source!I113</f>
        <v>18</v>
      </c>
      <c r="J20">
        <v>1</v>
      </c>
      <c r="K20">
        <f>Source!AC113</f>
        <v>2049.0100000000002</v>
      </c>
      <c r="M20">
        <f>ROUND(K20*I20, 2)</f>
        <v>36882.18</v>
      </c>
      <c r="N20">
        <f>Source!AC113*IF(Source!BC113&lt;&gt; 0, Source!BC113, 1)</f>
        <v>16166.688900000001</v>
      </c>
      <c r="O20">
        <f>ROUND(N20*I20, 2)</f>
        <v>291000.40000000002</v>
      </c>
      <c r="P20">
        <f>Source!AE113</f>
        <v>0</v>
      </c>
      <c r="R20">
        <f>ROUND(P20*I20, 2)</f>
        <v>0</v>
      </c>
      <c r="S20">
        <f>Source!AE113*IF(Source!BS113&lt;&gt; 0, Source!BS113, 1)</f>
        <v>0</v>
      </c>
      <c r="T20">
        <f>ROUND(S20*I20, 2)</f>
        <v>0</v>
      </c>
      <c r="U20">
        <f>Source!GF113</f>
        <v>-45276614</v>
      </c>
      <c r="V20">
        <v>534366141</v>
      </c>
      <c r="W20">
        <v>-74809241</v>
      </c>
    </row>
    <row r="21" spans="1:23" x14ac:dyDescent="0.2">
      <c r="A21">
        <v>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2:R25"/>
  <sheetViews>
    <sheetView workbookViewId="0"/>
  </sheetViews>
  <sheetFormatPr defaultRowHeight="12.75" x14ac:dyDescent="0.2"/>
  <cols>
    <col min="1" max="1" width="12.7109375" customWidth="1"/>
    <col min="2" max="2" width="40.7109375" customWidth="1"/>
    <col min="3" max="8" width="12.7109375" customWidth="1"/>
    <col min="15" max="18" width="0" hidden="1" customWidth="1"/>
  </cols>
  <sheetData>
    <row r="2" spans="1:18" ht="16.5" x14ac:dyDescent="0.2">
      <c r="A2" s="98" t="s">
        <v>304</v>
      </c>
      <c r="B2" s="99"/>
      <c r="C2" s="99"/>
      <c r="D2" s="99"/>
      <c r="E2" s="99"/>
      <c r="F2" s="99"/>
      <c r="G2" s="99"/>
      <c r="H2" s="99"/>
    </row>
    <row r="3" spans="1:18" ht="16.5" x14ac:dyDescent="0.2">
      <c r="A3" s="98" t="str">
        <f>CONCATENATE("Объект: ",IF(Source!G180&lt;&gt;"Новый объект", Source!G180, ""))</f>
        <v>Объект: А-01 Блок А. Демонтаж штукатурки в подвале</v>
      </c>
      <c r="B3" s="99"/>
      <c r="C3" s="99"/>
      <c r="D3" s="99"/>
      <c r="E3" s="99"/>
      <c r="F3" s="99"/>
      <c r="G3" s="99"/>
      <c r="H3" s="99"/>
    </row>
    <row r="4" spans="1:18" x14ac:dyDescent="0.2">
      <c r="A4" s="100" t="s">
        <v>305</v>
      </c>
      <c r="B4" s="100" t="s">
        <v>306</v>
      </c>
      <c r="C4" s="100" t="s">
        <v>267</v>
      </c>
      <c r="D4" s="100" t="s">
        <v>307</v>
      </c>
      <c r="E4" s="103" t="s">
        <v>308</v>
      </c>
      <c r="F4" s="104"/>
      <c r="G4" s="103" t="s">
        <v>311</v>
      </c>
      <c r="H4" s="104"/>
    </row>
    <row r="5" spans="1:18" x14ac:dyDescent="0.2">
      <c r="A5" s="101"/>
      <c r="B5" s="101"/>
      <c r="C5" s="101"/>
      <c r="D5" s="101"/>
      <c r="E5" s="105"/>
      <c r="F5" s="106"/>
      <c r="G5" s="105"/>
      <c r="H5" s="106"/>
    </row>
    <row r="6" spans="1:18" ht="14.25" x14ac:dyDescent="0.2">
      <c r="A6" s="102"/>
      <c r="B6" s="102"/>
      <c r="C6" s="102"/>
      <c r="D6" s="102"/>
      <c r="E6" s="21" t="s">
        <v>309</v>
      </c>
      <c r="F6" s="21" t="s">
        <v>310</v>
      </c>
      <c r="G6" s="21" t="s">
        <v>309</v>
      </c>
      <c r="H6" s="21" t="s">
        <v>310</v>
      </c>
    </row>
    <row r="7" spans="1:18" ht="14.25" x14ac:dyDescent="0.2">
      <c r="A7" s="21">
        <v>1</v>
      </c>
      <c r="B7" s="21">
        <v>2</v>
      </c>
      <c r="C7" s="21">
        <v>3</v>
      </c>
      <c r="D7" s="21">
        <v>4</v>
      </c>
      <c r="E7" s="21">
        <v>5</v>
      </c>
      <c r="F7" s="21">
        <v>6</v>
      </c>
      <c r="G7" s="21">
        <v>7</v>
      </c>
      <c r="H7" s="21">
        <v>8</v>
      </c>
    </row>
    <row r="8" spans="1:18" ht="14.25" x14ac:dyDescent="0.2">
      <c r="A8" s="96" t="s">
        <v>312</v>
      </c>
      <c r="B8" s="97"/>
      <c r="C8" s="97"/>
      <c r="D8" s="97"/>
      <c r="E8" s="97"/>
      <c r="F8" s="97"/>
      <c r="G8" s="97"/>
      <c r="H8" s="97"/>
    </row>
    <row r="9" spans="1:18" ht="14.25" x14ac:dyDescent="0.2">
      <c r="A9" s="63" t="s">
        <v>217</v>
      </c>
      <c r="B9" s="56" t="s">
        <v>218</v>
      </c>
      <c r="C9" s="56" t="s">
        <v>199</v>
      </c>
      <c r="D9" s="57">
        <f>ROUND(SUMIF(RV_DATA!W6:'RV_DATA'!W20, 1869988465, RV_DATA!I6:'RV_DATA'!I20), 6)</f>
        <v>213.72499999999999</v>
      </c>
      <c r="E9" s="64">
        <f>ROUND(RV_DATA!K19, 6)</f>
        <v>7.19</v>
      </c>
      <c r="F9" s="64">
        <f>ROUND(SUMIF(RV_DATA!W6:'RV_DATA'!W20, 1869988465, RV_DATA!M6:'RV_DATA'!M20), 6)</f>
        <v>1537.58</v>
      </c>
      <c r="G9" s="64">
        <f>ROUND(RV_DATA!N19, 6)</f>
        <v>7.19</v>
      </c>
      <c r="H9" s="64">
        <f>ROUND(SUMIF(RV_DATA!W6:'RV_DATA'!W20, 1869988465, RV_DATA!O6:'RV_DATA'!O20), 6)</f>
        <v>1537.58</v>
      </c>
      <c r="Q9">
        <v>1</v>
      </c>
    </row>
    <row r="10" spans="1:18" ht="14.25" x14ac:dyDescent="0.2">
      <c r="A10" s="63" t="s">
        <v>197</v>
      </c>
      <c r="B10" s="56" t="s">
        <v>198</v>
      </c>
      <c r="C10" s="56" t="s">
        <v>199</v>
      </c>
      <c r="D10" s="57">
        <f>ROUND(SUMIF(RV_DATA!W6:'RV_DATA'!W20, -873429878, RV_DATA!I6:'RV_DATA'!I20), 6)</f>
        <v>1291.32602</v>
      </c>
      <c r="E10" s="64">
        <f>ROUND(RV_DATA!K8, 6)</f>
        <v>7.8</v>
      </c>
      <c r="F10" s="64">
        <f>ROUND(SUMIF(RV_DATA!W6:'RV_DATA'!W20, -873429878, RV_DATA!M6:'RV_DATA'!M20), 6)</f>
        <v>10072.57</v>
      </c>
      <c r="G10" s="64">
        <f>ROUND(RV_DATA!N8, 6)</f>
        <v>7.8</v>
      </c>
      <c r="H10" s="64">
        <f>ROUND(SUMIF(RV_DATA!W6:'RV_DATA'!W20, -873429878, RV_DATA!O6:'RV_DATA'!O20), 6)</f>
        <v>10072.57</v>
      </c>
      <c r="Q10">
        <v>1</v>
      </c>
    </row>
    <row r="11" spans="1:18" ht="14.25" x14ac:dyDescent="0.2">
      <c r="A11" s="63" t="s">
        <v>200</v>
      </c>
      <c r="B11" s="56" t="s">
        <v>201</v>
      </c>
      <c r="C11" s="56" t="s">
        <v>199</v>
      </c>
      <c r="D11" s="57">
        <f>ROUND(SUMIF(RV_DATA!W6:'RV_DATA'!W20, 1265760833, RV_DATA!I6:'RV_DATA'!I20), 6)</f>
        <v>435.89800200000002</v>
      </c>
      <c r="E11" s="64">
        <f>ROUND(RV_DATA!K11, 6)</f>
        <v>9.18</v>
      </c>
      <c r="F11" s="64">
        <f>ROUND(SUMIF(RV_DATA!W6:'RV_DATA'!W20, 1265760833, RV_DATA!M6:'RV_DATA'!M20), 6)</f>
        <v>4001.61</v>
      </c>
      <c r="G11" s="64">
        <f>ROUND(RV_DATA!N11, 6)</f>
        <v>9.18</v>
      </c>
      <c r="H11" s="64">
        <f>ROUND(SUMIF(RV_DATA!W6:'RV_DATA'!W20, 1265760833, RV_DATA!O6:'RV_DATA'!O20), 6)</f>
        <v>4001.61</v>
      </c>
      <c r="Q11">
        <v>1</v>
      </c>
    </row>
    <row r="12" spans="1:18" ht="15" x14ac:dyDescent="0.25">
      <c r="A12" s="94" t="s">
        <v>313</v>
      </c>
      <c r="B12" s="94"/>
      <c r="C12" s="94"/>
      <c r="D12" s="94"/>
      <c r="E12" s="95">
        <f>SUMIF(Q9:Q11, 1, F9:F11)</f>
        <v>15611.76</v>
      </c>
      <c r="F12" s="95"/>
      <c r="G12" s="95">
        <f>SUMIF(Q9:Q11, 1, H9:H11)</f>
        <v>15611.76</v>
      </c>
      <c r="H12" s="94"/>
    </row>
    <row r="13" spans="1:18" ht="14.25" x14ac:dyDescent="0.2">
      <c r="A13" s="96" t="s">
        <v>314</v>
      </c>
      <c r="B13" s="97"/>
      <c r="C13" s="97"/>
      <c r="D13" s="97"/>
      <c r="E13" s="97"/>
      <c r="F13" s="97"/>
      <c r="G13" s="97"/>
      <c r="H13" s="97"/>
    </row>
    <row r="14" spans="1:18" ht="28.5" x14ac:dyDescent="0.2">
      <c r="A14" s="63" t="s">
        <v>204</v>
      </c>
      <c r="B14" s="56" t="s">
        <v>206</v>
      </c>
      <c r="C14" s="56" t="s">
        <v>207</v>
      </c>
      <c r="D14" s="57">
        <f>ROUND(SUMIF(RV_DATA!W6:'RV_DATA'!W20, -1128887651, RV_DATA!I6:'RV_DATA'!I20), 6)</f>
        <v>1.1783239999999999</v>
      </c>
      <c r="E14" s="64">
        <f>ROUND(RV_DATA!K10, 6)</f>
        <v>89.99</v>
      </c>
      <c r="F14" s="64">
        <f>ROUND(SUMIF(RV_DATA!W6:'RV_DATA'!W20, -1128887651, RV_DATA!M6:'RV_DATA'!M20), 6)</f>
        <v>106.05</v>
      </c>
      <c r="G14" s="64">
        <f>ROUND(RV_DATA!N10, 6)</f>
        <v>634.42999999999995</v>
      </c>
      <c r="H14" s="64">
        <f>ROUND(SUMIF(RV_DATA!W6:'RV_DATA'!W20, -1128887651, RV_DATA!O6:'RV_DATA'!O20), 6)</f>
        <v>747.65</v>
      </c>
      <c r="Q14">
        <v>2</v>
      </c>
    </row>
    <row r="15" spans="1:18" ht="14.25" x14ac:dyDescent="0.2">
      <c r="A15" s="63" t="s">
        <v>3</v>
      </c>
      <c r="B15" s="56" t="s">
        <v>315</v>
      </c>
      <c r="C15" s="56"/>
      <c r="D15" s="57"/>
      <c r="E15" s="64">
        <f>ROUND(RV_DATA!P10, 6)</f>
        <v>10.06</v>
      </c>
      <c r="F15" s="64">
        <f>ROUND(SUMIF(RV_DATA!W6:'RV_DATA'!W20, -1128887651, RV_DATA!R6:'RV_DATA'!R20), 6)</f>
        <v>11.78</v>
      </c>
      <c r="G15" s="64">
        <f>ROUND(RV_DATA!S10, 6)</f>
        <v>304.20999999999998</v>
      </c>
      <c r="H15" s="64">
        <f>ROUND(SUMIF(RV_DATA!W6:'RV_DATA'!W20, -1128887651, RV_DATA!T6:'RV_DATA'!T20), 6)</f>
        <v>356.33</v>
      </c>
      <c r="R15">
        <v>1</v>
      </c>
    </row>
    <row r="16" spans="1:18" ht="28.5" x14ac:dyDescent="0.2">
      <c r="A16" s="63" t="s">
        <v>204</v>
      </c>
      <c r="B16" s="56" t="s">
        <v>206</v>
      </c>
      <c r="C16" s="56" t="s">
        <v>207</v>
      </c>
      <c r="D16" s="57">
        <f>ROUND(SUMIF(RV_DATA!W6:'RV_DATA'!W20, -600294088, RV_DATA!I6:'RV_DATA'!I20), 6)</f>
        <v>0.217666</v>
      </c>
      <c r="E16" s="64">
        <f>ROUND(RV_DATA!K15, 6)</f>
        <v>89.99</v>
      </c>
      <c r="F16" s="64">
        <f>ROUND(SUMIF(RV_DATA!W6:'RV_DATA'!W20, -600294088, RV_DATA!M6:'RV_DATA'!M20), 6)</f>
        <v>19.59</v>
      </c>
      <c r="G16" s="64">
        <f>ROUND(RV_DATA!N15, 6)</f>
        <v>634.42999999999995</v>
      </c>
      <c r="H16" s="64">
        <f>ROUND(SUMIF(RV_DATA!W6:'RV_DATA'!W20, -600294088, RV_DATA!O6:'RV_DATA'!O20), 6)</f>
        <v>138.11000000000001</v>
      </c>
      <c r="Q16">
        <v>2</v>
      </c>
    </row>
    <row r="17" spans="1:18" ht="14.25" x14ac:dyDescent="0.2">
      <c r="A17" s="63" t="s">
        <v>3</v>
      </c>
      <c r="B17" s="56" t="s">
        <v>315</v>
      </c>
      <c r="C17" s="56"/>
      <c r="D17" s="57"/>
      <c r="E17" s="64">
        <f>ROUND(RV_DATA!P15, 6)</f>
        <v>10.06</v>
      </c>
      <c r="F17" s="64">
        <f>ROUND(SUMIF(RV_DATA!W6:'RV_DATA'!W20, -600294088, RV_DATA!R6:'RV_DATA'!R20), 6)</f>
        <v>2.1800000000000002</v>
      </c>
      <c r="G17" s="64">
        <f>ROUND(RV_DATA!S15, 6)</f>
        <v>304.20999999999998</v>
      </c>
      <c r="H17" s="64">
        <f>ROUND(SUMIF(RV_DATA!W6:'RV_DATA'!W20, -600294088, RV_DATA!T6:'RV_DATA'!T20), 6)</f>
        <v>65.819999999999993</v>
      </c>
      <c r="R17">
        <v>1</v>
      </c>
    </row>
    <row r="18" spans="1:18" ht="42.75" x14ac:dyDescent="0.2">
      <c r="A18" s="63" t="s">
        <v>208</v>
      </c>
      <c r="B18" s="56" t="s">
        <v>210</v>
      </c>
      <c r="C18" s="56" t="s">
        <v>207</v>
      </c>
      <c r="D18" s="57">
        <f>ROUND(SUMIF(RV_DATA!W6:'RV_DATA'!W20, -1855510276, RV_DATA!I6:'RV_DATA'!I20), 6)</f>
        <v>2.2684839999999999</v>
      </c>
      <c r="E18" s="64">
        <f>ROUND(RV_DATA!K9, 6)</f>
        <v>31.26</v>
      </c>
      <c r="F18" s="64">
        <f>ROUND(SUMIF(RV_DATA!W6:'RV_DATA'!W20, -1855510276, RV_DATA!M6:'RV_DATA'!M20), 6)</f>
        <v>70.849999999999994</v>
      </c>
      <c r="G18" s="64">
        <f>ROUND(RV_DATA!N9, 6)</f>
        <v>422.01</v>
      </c>
      <c r="H18" s="64">
        <f>ROUND(SUMIF(RV_DATA!W6:'RV_DATA'!W20, -1855510276, RV_DATA!O6:'RV_DATA'!O20), 6)</f>
        <v>956.43</v>
      </c>
      <c r="Q18">
        <v>2</v>
      </c>
    </row>
    <row r="19" spans="1:18" ht="14.25" x14ac:dyDescent="0.2">
      <c r="A19" s="63" t="s">
        <v>3</v>
      </c>
      <c r="B19" s="56" t="s">
        <v>315</v>
      </c>
      <c r="C19" s="56"/>
      <c r="D19" s="57"/>
      <c r="E19" s="64">
        <f>ROUND(RV_DATA!P9, 6)</f>
        <v>13.5</v>
      </c>
      <c r="F19" s="64">
        <f>ROUND(SUMIF(RV_DATA!W6:'RV_DATA'!W20, -1855510276, RV_DATA!R6:'RV_DATA'!R20), 6)</f>
        <v>30.71</v>
      </c>
      <c r="G19" s="64">
        <f>ROUND(RV_DATA!S9, 6)</f>
        <v>408.24</v>
      </c>
      <c r="H19" s="64">
        <f>ROUND(SUMIF(RV_DATA!W6:'RV_DATA'!W20, -1855510276, RV_DATA!T6:'RV_DATA'!T20), 6)</f>
        <v>928.73</v>
      </c>
      <c r="R19">
        <v>1</v>
      </c>
    </row>
    <row r="20" spans="1:18" ht="15" x14ac:dyDescent="0.25">
      <c r="A20" s="94" t="s">
        <v>316</v>
      </c>
      <c r="B20" s="94"/>
      <c r="C20" s="94"/>
      <c r="D20" s="94"/>
      <c r="E20" s="95">
        <f>SUMIF(Q14:Q19, 2, F14:F19)</f>
        <v>196.49</v>
      </c>
      <c r="F20" s="95"/>
      <c r="G20" s="95">
        <f>SUMIF(Q14:Q19, 2, H14:H19)</f>
        <v>1842.19</v>
      </c>
      <c r="H20" s="94"/>
    </row>
    <row r="21" spans="1:18" ht="15" x14ac:dyDescent="0.25">
      <c r="A21" s="94" t="s">
        <v>317</v>
      </c>
      <c r="B21" s="94"/>
      <c r="C21" s="94"/>
      <c r="D21" s="94"/>
      <c r="E21" s="95">
        <f>SUMIF(R14:R20, 1, F14:F20)</f>
        <v>44.67</v>
      </c>
      <c r="F21" s="95"/>
      <c r="G21" s="95">
        <f>SUMIF(R14:R20, 1, H14:H20)</f>
        <v>1350.88</v>
      </c>
      <c r="H21" s="94"/>
    </row>
    <row r="22" spans="1:18" ht="14.25" x14ac:dyDescent="0.2">
      <c r="A22" s="96" t="s">
        <v>318</v>
      </c>
      <c r="B22" s="97"/>
      <c r="C22" s="97"/>
      <c r="D22" s="97"/>
      <c r="E22" s="97"/>
      <c r="F22" s="97"/>
      <c r="G22" s="97"/>
      <c r="H22" s="97"/>
    </row>
    <row r="23" spans="1:18" ht="28.5" x14ac:dyDescent="0.2">
      <c r="A23" s="63" t="s">
        <v>219</v>
      </c>
      <c r="B23" s="56" t="s">
        <v>221</v>
      </c>
      <c r="C23" s="56" t="s">
        <v>222</v>
      </c>
      <c r="D23" s="57">
        <f>ROUND(SUMIF(RV_DATA!W6:'RV_DATA'!W20, 94662333, RV_DATA!I6:'RV_DATA'!I20), 6)</f>
        <v>41.5</v>
      </c>
      <c r="E23" s="64">
        <f>ROUND(RV_DATA!K18, 6)</f>
        <v>82</v>
      </c>
      <c r="F23" s="64">
        <f>ROUND(SUMIF(RV_DATA!W6:'RV_DATA'!W20, 94662333, RV_DATA!M6:'RV_DATA'!M20), 6)</f>
        <v>3403</v>
      </c>
      <c r="G23" s="64">
        <f>ROUND(RV_DATA!N18, 6)</f>
        <v>460.84</v>
      </c>
      <c r="H23" s="64">
        <f>ROUND(SUMIF(RV_DATA!W6:'RV_DATA'!W20, 94662333, RV_DATA!O6:'RV_DATA'!O20), 6)</f>
        <v>19124.86</v>
      </c>
      <c r="Q23">
        <v>3</v>
      </c>
    </row>
    <row r="24" spans="1:18" ht="42.75" x14ac:dyDescent="0.2">
      <c r="A24" s="63" t="s">
        <v>111</v>
      </c>
      <c r="B24" s="56" t="s">
        <v>112</v>
      </c>
      <c r="C24" s="56" t="s">
        <v>113</v>
      </c>
      <c r="D24" s="57">
        <f>ROUND(SUMIF(RV_DATA!W6:'RV_DATA'!W20, -74809241, RV_DATA!I6:'RV_DATA'!I20), 6)</f>
        <v>18</v>
      </c>
      <c r="E24" s="64">
        <f>ROUND(RV_DATA!K20, 6)</f>
        <v>2049.0100000000002</v>
      </c>
      <c r="F24" s="64">
        <f>ROUND(SUMIF(RV_DATA!W6:'RV_DATA'!W20, -74809241, RV_DATA!M6:'RV_DATA'!M20), 6)</f>
        <v>36882.18</v>
      </c>
      <c r="G24" s="64">
        <f>ROUND(RV_DATA!N20, 6)</f>
        <v>16166.688899999999</v>
      </c>
      <c r="H24" s="64">
        <f>ROUND(SUMIF(RV_DATA!W6:'RV_DATA'!W20, -74809241, RV_DATA!O6:'RV_DATA'!O20), 6)</f>
        <v>291000.40000000002</v>
      </c>
      <c r="Q24">
        <v>3</v>
      </c>
    </row>
    <row r="25" spans="1:18" ht="15" x14ac:dyDescent="0.25">
      <c r="A25" s="94" t="s">
        <v>319</v>
      </c>
      <c r="B25" s="94"/>
      <c r="C25" s="94"/>
      <c r="D25" s="94"/>
      <c r="E25" s="95">
        <f>SUMIF(Q23:Q24, 3, F23:F24)</f>
        <v>40285.18</v>
      </c>
      <c r="F25" s="95"/>
      <c r="G25" s="95">
        <f>SUMIF(Q23:Q24, 3, H23:H24)</f>
        <v>310125.26</v>
      </c>
      <c r="H25" s="94"/>
    </row>
  </sheetData>
  <sortState ref="A23:R24">
    <sortCondition ref="A23"/>
  </sortState>
  <mergeCells count="23">
    <mergeCell ref="A20:D20"/>
    <mergeCell ref="E20:F20"/>
    <mergeCell ref="G20:H20"/>
    <mergeCell ref="A2:H2"/>
    <mergeCell ref="A3:H3"/>
    <mergeCell ref="A4:A6"/>
    <mergeCell ref="B4:B6"/>
    <mergeCell ref="C4:C6"/>
    <mergeCell ref="D4:D6"/>
    <mergeCell ref="E4:F5"/>
    <mergeCell ref="G4:H5"/>
    <mergeCell ref="A8:H8"/>
    <mergeCell ref="A12:D12"/>
    <mergeCell ref="E12:F12"/>
    <mergeCell ref="G12:H12"/>
    <mergeCell ref="A13:H13"/>
    <mergeCell ref="A21:D21"/>
    <mergeCell ref="E21:F21"/>
    <mergeCell ref="G21:H21"/>
    <mergeCell ref="A22:H22"/>
    <mergeCell ref="A25:D25"/>
    <mergeCell ref="E25:F25"/>
    <mergeCell ref="G25:H25"/>
  </mergeCells>
  <pageMargins left="0.6" right="0.4" top="0.65" bottom="0.4" header="0.4" footer="0.4"/>
  <pageSetup paperSize="9" scale="72" fitToHeight="0" orientation="portrait" r:id="rId1"/>
  <headerFooter>
    <oddHeader>&amp;C&amp;P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U250"/>
  <sheetViews>
    <sheetView tabSelected="1" zoomScale="70" zoomScaleNormal="70" workbookViewId="0">
      <selection activeCell="G64" sqref="G64"/>
    </sheetView>
  </sheetViews>
  <sheetFormatPr defaultColWidth="9.140625" defaultRowHeight="12.75" x14ac:dyDescent="0.2"/>
  <cols>
    <col min="1" max="1" width="9.140625" style="66" customWidth="1"/>
    <col min="2" max="5" width="9.140625" customWidth="1"/>
    <col min="6" max="6" width="23.28515625" customWidth="1"/>
    <col min="7" max="7" width="34" customWidth="1"/>
    <col min="8" max="256" width="9.140625" customWidth="1"/>
  </cols>
  <sheetData>
    <row r="1" spans="1:133" x14ac:dyDescent="0.2">
      <c r="A1" s="66">
        <v>0</v>
      </c>
      <c r="B1" t="s">
        <v>0</v>
      </c>
      <c r="D1" t="s">
        <v>1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67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67">
        <v>1</v>
      </c>
      <c r="B12" s="1">
        <v>244</v>
      </c>
      <c r="C12" s="1">
        <v>0</v>
      </c>
      <c r="D12" s="1">
        <f>ROW(A180)</f>
        <v>180</v>
      </c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5" spans="1:133" x14ac:dyDescent="0.2">
      <c r="A15" s="67">
        <v>15</v>
      </c>
      <c r="B15" s="1">
        <v>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</row>
    <row r="18" spans="1:255" x14ac:dyDescent="0.2">
      <c r="A18" s="68">
        <v>52</v>
      </c>
      <c r="B18" s="3">
        <f t="shared" ref="B18:G18" si="0">B180</f>
        <v>244</v>
      </c>
      <c r="C18" s="3">
        <f t="shared" si="0"/>
        <v>1</v>
      </c>
      <c r="D18" s="3">
        <f t="shared" si="0"/>
        <v>12</v>
      </c>
      <c r="E18" s="3">
        <f t="shared" si="0"/>
        <v>0</v>
      </c>
      <c r="F18" s="3" t="str">
        <f t="shared" si="0"/>
        <v>Новый объект</v>
      </c>
      <c r="G18" s="3" t="str">
        <f t="shared" si="0"/>
        <v>А-01 Блок А. Демонтаж штукатурки в подвале</v>
      </c>
      <c r="H18" s="3"/>
      <c r="I18" s="3"/>
      <c r="J18" s="3"/>
      <c r="K18" s="3"/>
      <c r="L18" s="3"/>
      <c r="M18" s="3"/>
      <c r="N18" s="3"/>
      <c r="O18" s="3">
        <f t="shared" ref="O18:AT18" si="1">O180</f>
        <v>56093.43</v>
      </c>
      <c r="P18" s="3">
        <f t="shared" si="1"/>
        <v>40285.18</v>
      </c>
      <c r="Q18" s="3">
        <f t="shared" si="1"/>
        <v>196.49</v>
      </c>
      <c r="R18" s="3">
        <f t="shared" si="1"/>
        <v>44.68</v>
      </c>
      <c r="S18" s="3">
        <f t="shared" si="1"/>
        <v>15611.76</v>
      </c>
      <c r="T18" s="3">
        <f t="shared" si="1"/>
        <v>0</v>
      </c>
      <c r="U18" s="3">
        <f t="shared" si="1"/>
        <v>1940.9490221599999</v>
      </c>
      <c r="V18" s="3">
        <f t="shared" si="1"/>
        <v>3.6644747999999998</v>
      </c>
      <c r="W18" s="3">
        <f t="shared" si="1"/>
        <v>0</v>
      </c>
      <c r="X18" s="3">
        <f t="shared" si="1"/>
        <v>16527.740000000002</v>
      </c>
      <c r="Y18" s="3">
        <f t="shared" si="1"/>
        <v>10045.049999999999</v>
      </c>
      <c r="Z18" s="3">
        <f t="shared" si="1"/>
        <v>0</v>
      </c>
      <c r="AA18" s="3">
        <f t="shared" si="1"/>
        <v>0</v>
      </c>
      <c r="AB18" s="3">
        <f t="shared" si="1"/>
        <v>0</v>
      </c>
      <c r="AC18" s="3">
        <f t="shared" si="1"/>
        <v>0</v>
      </c>
      <c r="AD18" s="3">
        <f t="shared" si="1"/>
        <v>0</v>
      </c>
      <c r="AE18" s="3">
        <f t="shared" si="1"/>
        <v>0</v>
      </c>
      <c r="AF18" s="3">
        <f t="shared" si="1"/>
        <v>0</v>
      </c>
      <c r="AG18" s="3">
        <f t="shared" si="1"/>
        <v>0</v>
      </c>
      <c r="AH18" s="3">
        <f t="shared" si="1"/>
        <v>0</v>
      </c>
      <c r="AI18" s="3">
        <f t="shared" si="1"/>
        <v>0</v>
      </c>
      <c r="AJ18" s="3">
        <f t="shared" si="1"/>
        <v>0</v>
      </c>
      <c r="AK18" s="3">
        <f t="shared" si="1"/>
        <v>0</v>
      </c>
      <c r="AL18" s="3">
        <f t="shared" si="1"/>
        <v>0</v>
      </c>
      <c r="AM18" s="3">
        <f t="shared" si="1"/>
        <v>0</v>
      </c>
      <c r="AN18" s="3">
        <f t="shared" si="1"/>
        <v>0</v>
      </c>
      <c r="AO18" s="3">
        <f t="shared" si="1"/>
        <v>0</v>
      </c>
      <c r="AP18" s="3">
        <f t="shared" si="1"/>
        <v>0</v>
      </c>
      <c r="AQ18" s="3">
        <f t="shared" si="1"/>
        <v>0</v>
      </c>
      <c r="AR18" s="3">
        <f t="shared" si="1"/>
        <v>86390.85</v>
      </c>
      <c r="AS18" s="3">
        <f t="shared" si="1"/>
        <v>49508.67</v>
      </c>
      <c r="AT18" s="3">
        <f t="shared" si="1"/>
        <v>0</v>
      </c>
      <c r="AU18" s="3">
        <f t="shared" ref="AU18:BZ18" si="2">AU180</f>
        <v>36882.18</v>
      </c>
      <c r="AV18" s="3">
        <f t="shared" si="2"/>
        <v>40285.18</v>
      </c>
      <c r="AW18" s="3">
        <f t="shared" si="2"/>
        <v>40285.18</v>
      </c>
      <c r="AX18" s="3">
        <f t="shared" si="2"/>
        <v>0</v>
      </c>
      <c r="AY18" s="3">
        <f t="shared" si="2"/>
        <v>40285.18</v>
      </c>
      <c r="AZ18" s="3">
        <f t="shared" si="2"/>
        <v>0</v>
      </c>
      <c r="BA18" s="3">
        <f t="shared" si="2"/>
        <v>0</v>
      </c>
      <c r="BB18" s="3">
        <f t="shared" si="2"/>
        <v>0</v>
      </c>
      <c r="BC18" s="3">
        <f t="shared" si="2"/>
        <v>0</v>
      </c>
      <c r="BD18" s="3">
        <f t="shared" si="2"/>
        <v>0</v>
      </c>
      <c r="BE18" s="3">
        <f t="shared" si="2"/>
        <v>0</v>
      </c>
      <c r="BF18" s="3">
        <f t="shared" si="2"/>
        <v>0</v>
      </c>
      <c r="BG18" s="3">
        <f t="shared" si="2"/>
        <v>0</v>
      </c>
      <c r="BH18" s="3">
        <f t="shared" si="2"/>
        <v>0</v>
      </c>
      <c r="BI18" s="3">
        <f t="shared" si="2"/>
        <v>0</v>
      </c>
      <c r="BJ18" s="3">
        <f t="shared" si="2"/>
        <v>0</v>
      </c>
      <c r="BK18" s="3">
        <f t="shared" si="2"/>
        <v>0</v>
      </c>
      <c r="BL18" s="3">
        <f t="shared" si="2"/>
        <v>0</v>
      </c>
      <c r="BM18" s="3">
        <f t="shared" si="2"/>
        <v>0</v>
      </c>
      <c r="BN18" s="3">
        <f t="shared" si="2"/>
        <v>0</v>
      </c>
      <c r="BO18" s="3">
        <f t="shared" si="2"/>
        <v>0</v>
      </c>
      <c r="BP18" s="3">
        <f t="shared" si="2"/>
        <v>0</v>
      </c>
      <c r="BQ18" s="3">
        <f t="shared" si="2"/>
        <v>0</v>
      </c>
      <c r="BR18" s="3">
        <f t="shared" si="2"/>
        <v>0</v>
      </c>
      <c r="BS18" s="3">
        <f t="shared" si="2"/>
        <v>0</v>
      </c>
      <c r="BT18" s="3">
        <f t="shared" si="2"/>
        <v>0</v>
      </c>
      <c r="BU18" s="3">
        <f t="shared" si="2"/>
        <v>0</v>
      </c>
      <c r="BV18" s="3">
        <f t="shared" si="2"/>
        <v>0</v>
      </c>
      <c r="BW18" s="3">
        <f t="shared" si="2"/>
        <v>0</v>
      </c>
      <c r="BX18" s="3">
        <f t="shared" si="2"/>
        <v>0</v>
      </c>
      <c r="BY18" s="3">
        <f t="shared" si="2"/>
        <v>0</v>
      </c>
      <c r="BZ18" s="3">
        <f t="shared" si="2"/>
        <v>0</v>
      </c>
      <c r="CA18" s="3">
        <f t="shared" ref="CA18:DF18" si="3">CA180</f>
        <v>0</v>
      </c>
      <c r="CB18" s="3">
        <f t="shared" si="3"/>
        <v>0</v>
      </c>
      <c r="CC18" s="3">
        <f t="shared" si="3"/>
        <v>0</v>
      </c>
      <c r="CD18" s="3">
        <f t="shared" si="3"/>
        <v>0</v>
      </c>
      <c r="CE18" s="3">
        <f t="shared" si="3"/>
        <v>0</v>
      </c>
      <c r="CF18" s="3">
        <f t="shared" si="3"/>
        <v>0</v>
      </c>
      <c r="CG18" s="3">
        <f t="shared" si="3"/>
        <v>0</v>
      </c>
      <c r="CH18" s="3">
        <f t="shared" si="3"/>
        <v>0</v>
      </c>
      <c r="CI18" s="3">
        <f t="shared" si="3"/>
        <v>0</v>
      </c>
      <c r="CJ18" s="3">
        <f t="shared" si="3"/>
        <v>0</v>
      </c>
      <c r="CK18" s="3">
        <f t="shared" si="3"/>
        <v>0</v>
      </c>
      <c r="CL18" s="3">
        <f t="shared" si="3"/>
        <v>0</v>
      </c>
      <c r="CM18" s="3">
        <f t="shared" si="3"/>
        <v>0</v>
      </c>
      <c r="CN18" s="3">
        <f t="shared" si="3"/>
        <v>0</v>
      </c>
      <c r="CO18" s="3">
        <f t="shared" si="3"/>
        <v>0</v>
      </c>
      <c r="CP18" s="3">
        <f t="shared" si="3"/>
        <v>0</v>
      </c>
      <c r="CQ18" s="3">
        <f t="shared" si="3"/>
        <v>0</v>
      </c>
      <c r="CR18" s="3">
        <f t="shared" si="3"/>
        <v>0</v>
      </c>
      <c r="CS18" s="3">
        <f t="shared" si="3"/>
        <v>0</v>
      </c>
      <c r="CT18" s="3">
        <f t="shared" si="3"/>
        <v>0</v>
      </c>
      <c r="CU18" s="3">
        <f t="shared" si="3"/>
        <v>0</v>
      </c>
      <c r="CV18" s="3">
        <f t="shared" si="3"/>
        <v>0</v>
      </c>
      <c r="CW18" s="3">
        <f t="shared" si="3"/>
        <v>0</v>
      </c>
      <c r="CX18" s="3">
        <f t="shared" si="3"/>
        <v>0</v>
      </c>
      <c r="CY18" s="3">
        <f t="shared" si="3"/>
        <v>0</v>
      </c>
      <c r="CZ18" s="3">
        <f t="shared" si="3"/>
        <v>0</v>
      </c>
      <c r="DA18" s="3">
        <f t="shared" si="3"/>
        <v>0</v>
      </c>
      <c r="DB18" s="3">
        <f t="shared" si="3"/>
        <v>0</v>
      </c>
      <c r="DC18" s="3">
        <f t="shared" si="3"/>
        <v>0</v>
      </c>
      <c r="DD18" s="3">
        <f t="shared" si="3"/>
        <v>0</v>
      </c>
      <c r="DE18" s="3">
        <f t="shared" si="3"/>
        <v>0</v>
      </c>
      <c r="DF18" s="3">
        <f t="shared" si="3"/>
        <v>0</v>
      </c>
      <c r="DG18" s="4">
        <f t="shared" ref="DG18:EL18" si="4">DG180</f>
        <v>784069.6</v>
      </c>
      <c r="DH18" s="4">
        <f t="shared" si="4"/>
        <v>310125.26</v>
      </c>
      <c r="DI18" s="4">
        <f t="shared" si="4"/>
        <v>1845</v>
      </c>
      <c r="DJ18" s="4">
        <f t="shared" si="4"/>
        <v>1350.87</v>
      </c>
      <c r="DK18" s="4">
        <f t="shared" si="4"/>
        <v>472099.34</v>
      </c>
      <c r="DL18" s="4">
        <f t="shared" si="4"/>
        <v>0</v>
      </c>
      <c r="DM18" s="4">
        <f t="shared" si="4"/>
        <v>1940.9490221599999</v>
      </c>
      <c r="DN18" s="4">
        <f t="shared" si="4"/>
        <v>3.6644747999999998</v>
      </c>
      <c r="DO18" s="4">
        <f t="shared" si="4"/>
        <v>0</v>
      </c>
      <c r="DP18" s="4">
        <f t="shared" si="4"/>
        <v>499798.45</v>
      </c>
      <c r="DQ18" s="4">
        <f t="shared" si="4"/>
        <v>303761.99</v>
      </c>
      <c r="DR18" s="4">
        <f t="shared" si="4"/>
        <v>0</v>
      </c>
      <c r="DS18" s="4">
        <f t="shared" si="4"/>
        <v>0</v>
      </c>
      <c r="DT18" s="4">
        <f t="shared" si="4"/>
        <v>0</v>
      </c>
      <c r="DU18" s="4">
        <f t="shared" si="4"/>
        <v>0</v>
      </c>
      <c r="DV18" s="4">
        <f t="shared" si="4"/>
        <v>0</v>
      </c>
      <c r="DW18" s="4">
        <f t="shared" si="4"/>
        <v>0</v>
      </c>
      <c r="DX18" s="4">
        <f t="shared" si="4"/>
        <v>0</v>
      </c>
      <c r="DY18" s="4">
        <f t="shared" si="4"/>
        <v>0</v>
      </c>
      <c r="DZ18" s="4">
        <f t="shared" si="4"/>
        <v>0</v>
      </c>
      <c r="EA18" s="4">
        <f t="shared" si="4"/>
        <v>0</v>
      </c>
      <c r="EB18" s="4">
        <f t="shared" si="4"/>
        <v>0</v>
      </c>
      <c r="EC18" s="4">
        <f t="shared" si="4"/>
        <v>0</v>
      </c>
      <c r="ED18" s="4">
        <f t="shared" si="4"/>
        <v>0</v>
      </c>
      <c r="EE18" s="4">
        <f t="shared" si="4"/>
        <v>0</v>
      </c>
      <c r="EF18" s="4">
        <f t="shared" si="4"/>
        <v>0</v>
      </c>
      <c r="EG18" s="4">
        <f t="shared" si="4"/>
        <v>0</v>
      </c>
      <c r="EH18" s="4">
        <f t="shared" si="4"/>
        <v>0</v>
      </c>
      <c r="EI18" s="4">
        <f t="shared" si="4"/>
        <v>0</v>
      </c>
      <c r="EJ18" s="4">
        <f t="shared" si="4"/>
        <v>1648043.46</v>
      </c>
      <c r="EK18" s="4">
        <f t="shared" si="4"/>
        <v>1357043.06</v>
      </c>
      <c r="EL18" s="4">
        <f t="shared" si="4"/>
        <v>0</v>
      </c>
      <c r="EM18" s="4">
        <f t="shared" ref="EM18:FR18" si="5">EM180</f>
        <v>291000.40000000002</v>
      </c>
      <c r="EN18" s="4">
        <f t="shared" si="5"/>
        <v>310125.26</v>
      </c>
      <c r="EO18" s="4">
        <f t="shared" si="5"/>
        <v>310125.26</v>
      </c>
      <c r="EP18" s="4">
        <f t="shared" si="5"/>
        <v>0</v>
      </c>
      <c r="EQ18" s="4">
        <f t="shared" si="5"/>
        <v>310125.26</v>
      </c>
      <c r="ER18" s="4">
        <f t="shared" si="5"/>
        <v>0</v>
      </c>
      <c r="ES18" s="4">
        <f t="shared" si="5"/>
        <v>0</v>
      </c>
      <c r="ET18" s="4">
        <f t="shared" si="5"/>
        <v>0</v>
      </c>
      <c r="EU18" s="4">
        <f t="shared" si="5"/>
        <v>0</v>
      </c>
      <c r="EV18" s="4">
        <f t="shared" si="5"/>
        <v>0</v>
      </c>
      <c r="EW18" s="4">
        <f t="shared" si="5"/>
        <v>0</v>
      </c>
      <c r="EX18" s="4">
        <f t="shared" si="5"/>
        <v>0</v>
      </c>
      <c r="EY18" s="4">
        <f t="shared" si="5"/>
        <v>0</v>
      </c>
      <c r="EZ18" s="4">
        <f t="shared" si="5"/>
        <v>0</v>
      </c>
      <c r="FA18" s="4">
        <f t="shared" si="5"/>
        <v>0</v>
      </c>
      <c r="FB18" s="4">
        <f t="shared" si="5"/>
        <v>0</v>
      </c>
      <c r="FC18" s="4">
        <f t="shared" si="5"/>
        <v>0</v>
      </c>
      <c r="FD18" s="4">
        <f t="shared" si="5"/>
        <v>0</v>
      </c>
      <c r="FE18" s="4">
        <f t="shared" si="5"/>
        <v>0</v>
      </c>
      <c r="FF18" s="4">
        <f t="shared" si="5"/>
        <v>0</v>
      </c>
      <c r="FG18" s="4">
        <f t="shared" si="5"/>
        <v>0</v>
      </c>
      <c r="FH18" s="4">
        <f t="shared" si="5"/>
        <v>0</v>
      </c>
      <c r="FI18" s="4">
        <f t="shared" si="5"/>
        <v>0</v>
      </c>
      <c r="FJ18" s="4">
        <f t="shared" si="5"/>
        <v>0</v>
      </c>
      <c r="FK18" s="4">
        <f t="shared" si="5"/>
        <v>0</v>
      </c>
      <c r="FL18" s="4">
        <f t="shared" si="5"/>
        <v>0</v>
      </c>
      <c r="FM18" s="4">
        <f t="shared" si="5"/>
        <v>0</v>
      </c>
      <c r="FN18" s="4">
        <f t="shared" si="5"/>
        <v>0</v>
      </c>
      <c r="FO18" s="4">
        <f t="shared" si="5"/>
        <v>0</v>
      </c>
      <c r="FP18" s="4">
        <f t="shared" si="5"/>
        <v>0</v>
      </c>
      <c r="FQ18" s="4">
        <f t="shared" si="5"/>
        <v>0</v>
      </c>
      <c r="FR18" s="4">
        <f t="shared" si="5"/>
        <v>0</v>
      </c>
      <c r="FS18" s="4">
        <f t="shared" ref="FS18:GX18" si="6">FS180</f>
        <v>0</v>
      </c>
      <c r="FT18" s="4">
        <f t="shared" si="6"/>
        <v>0</v>
      </c>
      <c r="FU18" s="4">
        <f t="shared" si="6"/>
        <v>0</v>
      </c>
      <c r="FV18" s="4">
        <f t="shared" si="6"/>
        <v>0</v>
      </c>
      <c r="FW18" s="4">
        <f t="shared" si="6"/>
        <v>0</v>
      </c>
      <c r="FX18" s="4">
        <f t="shared" si="6"/>
        <v>0</v>
      </c>
      <c r="FY18" s="4">
        <f t="shared" si="6"/>
        <v>0</v>
      </c>
      <c r="FZ18" s="4">
        <f t="shared" si="6"/>
        <v>0</v>
      </c>
      <c r="GA18" s="4">
        <f t="shared" si="6"/>
        <v>0</v>
      </c>
      <c r="GB18" s="4">
        <f t="shared" si="6"/>
        <v>0</v>
      </c>
      <c r="GC18" s="4">
        <f t="shared" si="6"/>
        <v>0</v>
      </c>
      <c r="GD18" s="4">
        <f t="shared" si="6"/>
        <v>0</v>
      </c>
      <c r="GE18" s="4">
        <f t="shared" si="6"/>
        <v>0</v>
      </c>
      <c r="GF18" s="4">
        <f t="shared" si="6"/>
        <v>0</v>
      </c>
      <c r="GG18" s="4">
        <f t="shared" si="6"/>
        <v>0</v>
      </c>
      <c r="GH18" s="4">
        <f t="shared" si="6"/>
        <v>0</v>
      </c>
      <c r="GI18" s="4">
        <f t="shared" si="6"/>
        <v>0</v>
      </c>
      <c r="GJ18" s="4">
        <f t="shared" si="6"/>
        <v>0</v>
      </c>
      <c r="GK18" s="4">
        <f t="shared" si="6"/>
        <v>0</v>
      </c>
      <c r="GL18" s="4">
        <f t="shared" si="6"/>
        <v>0</v>
      </c>
      <c r="GM18" s="4">
        <f t="shared" si="6"/>
        <v>0</v>
      </c>
      <c r="GN18" s="4">
        <f t="shared" si="6"/>
        <v>0</v>
      </c>
      <c r="GO18" s="4">
        <f t="shared" si="6"/>
        <v>0</v>
      </c>
      <c r="GP18" s="4">
        <f t="shared" si="6"/>
        <v>0</v>
      </c>
      <c r="GQ18" s="4">
        <f t="shared" si="6"/>
        <v>0</v>
      </c>
      <c r="GR18" s="4">
        <f t="shared" si="6"/>
        <v>0</v>
      </c>
      <c r="GS18" s="4">
        <f t="shared" si="6"/>
        <v>0</v>
      </c>
      <c r="GT18" s="4">
        <f t="shared" si="6"/>
        <v>0</v>
      </c>
      <c r="GU18" s="4">
        <f t="shared" si="6"/>
        <v>0</v>
      </c>
      <c r="GV18" s="4">
        <f t="shared" si="6"/>
        <v>0</v>
      </c>
      <c r="GW18" s="4">
        <f t="shared" si="6"/>
        <v>0</v>
      </c>
      <c r="GX18" s="4">
        <f t="shared" si="6"/>
        <v>0</v>
      </c>
    </row>
    <row r="20" spans="1:255" x14ac:dyDescent="0.2">
      <c r="A20" s="67">
        <v>3</v>
      </c>
      <c r="B20" s="1">
        <v>1</v>
      </c>
      <c r="C20" s="1"/>
      <c r="D20" s="1">
        <f>ROW(A144)</f>
        <v>144</v>
      </c>
      <c r="E20" s="1"/>
      <c r="F20" s="65" t="s">
        <v>320</v>
      </c>
      <c r="G20" s="1" t="s">
        <v>13</v>
      </c>
      <c r="H20" s="1" t="s">
        <v>3</v>
      </c>
      <c r="I20" s="1">
        <v>0</v>
      </c>
      <c r="J20" s="1" t="s">
        <v>3</v>
      </c>
      <c r="K20" s="1">
        <v>0</v>
      </c>
      <c r="L20" s="1" t="s">
        <v>3</v>
      </c>
      <c r="M20" s="1"/>
      <c r="N20" s="1"/>
      <c r="O20" s="1"/>
      <c r="P20" s="1"/>
      <c r="Q20" s="1"/>
      <c r="R20" s="1"/>
      <c r="S20" s="1"/>
      <c r="T20" s="1"/>
      <c r="U20" s="1" t="s">
        <v>3</v>
      </c>
      <c r="V20" s="1">
        <v>0</v>
      </c>
      <c r="W20" s="1"/>
      <c r="X20" s="1"/>
      <c r="Y20" s="1"/>
      <c r="Z20" s="1"/>
      <c r="AA20" s="1"/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/>
      <c r="AI20" s="1"/>
      <c r="AJ20" s="1"/>
      <c r="AK20" s="1"/>
      <c r="AL20" s="1"/>
      <c r="AM20" s="1"/>
      <c r="AN20" s="1"/>
      <c r="AO20" s="1"/>
      <c r="AP20" s="1" t="s">
        <v>3</v>
      </c>
      <c r="AQ20" s="1" t="s">
        <v>3</v>
      </c>
      <c r="AR20" s="1" t="s">
        <v>3</v>
      </c>
      <c r="AS20" s="1"/>
      <c r="AT20" s="1"/>
      <c r="AU20" s="1"/>
      <c r="AV20" s="1"/>
      <c r="AW20" s="1"/>
      <c r="AX20" s="1"/>
      <c r="AY20" s="1"/>
      <c r="AZ20" s="1" t="s">
        <v>3</v>
      </c>
      <c r="BA20" s="1"/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/>
      <c r="BR20" s="1"/>
      <c r="BS20" s="1"/>
      <c r="BT20" s="1"/>
      <c r="BU20" s="1"/>
      <c r="BV20" s="1"/>
      <c r="BW20" s="1"/>
      <c r="BX20" s="1">
        <v>0</v>
      </c>
      <c r="BY20" s="1"/>
      <c r="BZ20" s="1"/>
      <c r="CA20" s="1"/>
      <c r="CB20" s="1"/>
      <c r="CC20" s="1"/>
      <c r="CD20" s="1"/>
      <c r="CE20" s="1"/>
      <c r="CF20" s="1">
        <v>0</v>
      </c>
      <c r="CG20" s="1">
        <v>0</v>
      </c>
      <c r="CH20" s="1"/>
      <c r="CI20" s="1" t="s">
        <v>3</v>
      </c>
      <c r="CJ20" s="1" t="s">
        <v>3</v>
      </c>
    </row>
    <row r="22" spans="1:255" x14ac:dyDescent="0.2">
      <c r="A22" s="68">
        <v>52</v>
      </c>
      <c r="B22" s="3">
        <f t="shared" ref="B22:G22" si="7">B144</f>
        <v>1</v>
      </c>
      <c r="C22" s="3">
        <f t="shared" si="7"/>
        <v>3</v>
      </c>
      <c r="D22" s="3">
        <f t="shared" si="7"/>
        <v>20</v>
      </c>
      <c r="E22" s="3">
        <f t="shared" si="7"/>
        <v>0</v>
      </c>
      <c r="F22" s="3" t="str">
        <f t="shared" si="7"/>
        <v>А-01/Ф</v>
      </c>
      <c r="G22" s="3" t="str">
        <f t="shared" si="7"/>
        <v>Новая локальная смета</v>
      </c>
      <c r="H22" s="3"/>
      <c r="I22" s="3"/>
      <c r="J22" s="3"/>
      <c r="K22" s="3"/>
      <c r="L22" s="3"/>
      <c r="M22" s="3"/>
      <c r="N22" s="3"/>
      <c r="O22" s="3">
        <f t="shared" ref="O22:AT22" si="8">O144</f>
        <v>56093.43</v>
      </c>
      <c r="P22" s="3">
        <f t="shared" si="8"/>
        <v>40285.18</v>
      </c>
      <c r="Q22" s="3">
        <f t="shared" si="8"/>
        <v>196.49</v>
      </c>
      <c r="R22" s="3">
        <f t="shared" si="8"/>
        <v>44.68</v>
      </c>
      <c r="S22" s="3">
        <f t="shared" si="8"/>
        <v>15611.76</v>
      </c>
      <c r="T22" s="3">
        <f t="shared" si="8"/>
        <v>0</v>
      </c>
      <c r="U22" s="3">
        <f t="shared" si="8"/>
        <v>1940.9490221599999</v>
      </c>
      <c r="V22" s="3">
        <f t="shared" si="8"/>
        <v>3.6644747999999998</v>
      </c>
      <c r="W22" s="3">
        <f t="shared" si="8"/>
        <v>0</v>
      </c>
      <c r="X22" s="3">
        <f t="shared" si="8"/>
        <v>16527.740000000002</v>
      </c>
      <c r="Y22" s="3">
        <f t="shared" si="8"/>
        <v>10045.049999999999</v>
      </c>
      <c r="Z22" s="3">
        <f t="shared" si="8"/>
        <v>0</v>
      </c>
      <c r="AA22" s="3">
        <f t="shared" si="8"/>
        <v>0</v>
      </c>
      <c r="AB22" s="3">
        <f t="shared" si="8"/>
        <v>0</v>
      </c>
      <c r="AC22" s="3">
        <f t="shared" si="8"/>
        <v>0</v>
      </c>
      <c r="AD22" s="3">
        <f t="shared" si="8"/>
        <v>0</v>
      </c>
      <c r="AE22" s="3">
        <f t="shared" si="8"/>
        <v>0</v>
      </c>
      <c r="AF22" s="3">
        <f t="shared" si="8"/>
        <v>0</v>
      </c>
      <c r="AG22" s="3">
        <f t="shared" si="8"/>
        <v>0</v>
      </c>
      <c r="AH22" s="3">
        <f t="shared" si="8"/>
        <v>0</v>
      </c>
      <c r="AI22" s="3">
        <f t="shared" si="8"/>
        <v>0</v>
      </c>
      <c r="AJ22" s="3">
        <f t="shared" si="8"/>
        <v>0</v>
      </c>
      <c r="AK22" s="3">
        <f t="shared" si="8"/>
        <v>0</v>
      </c>
      <c r="AL22" s="3">
        <f t="shared" si="8"/>
        <v>0</v>
      </c>
      <c r="AM22" s="3">
        <f t="shared" si="8"/>
        <v>0</v>
      </c>
      <c r="AN22" s="3">
        <f t="shared" si="8"/>
        <v>0</v>
      </c>
      <c r="AO22" s="3">
        <f t="shared" si="8"/>
        <v>0</v>
      </c>
      <c r="AP22" s="3">
        <f t="shared" si="8"/>
        <v>0</v>
      </c>
      <c r="AQ22" s="3">
        <f t="shared" si="8"/>
        <v>0</v>
      </c>
      <c r="AR22" s="3">
        <f t="shared" si="8"/>
        <v>86390.85</v>
      </c>
      <c r="AS22" s="3">
        <f t="shared" si="8"/>
        <v>49508.67</v>
      </c>
      <c r="AT22" s="3">
        <f t="shared" si="8"/>
        <v>0</v>
      </c>
      <c r="AU22" s="3">
        <f t="shared" ref="AU22:BZ22" si="9">AU144</f>
        <v>36882.18</v>
      </c>
      <c r="AV22" s="3">
        <f t="shared" si="9"/>
        <v>40285.18</v>
      </c>
      <c r="AW22" s="3">
        <f t="shared" si="9"/>
        <v>40285.18</v>
      </c>
      <c r="AX22" s="3">
        <f t="shared" si="9"/>
        <v>0</v>
      </c>
      <c r="AY22" s="3">
        <f t="shared" si="9"/>
        <v>40285.18</v>
      </c>
      <c r="AZ22" s="3">
        <f t="shared" si="9"/>
        <v>0</v>
      </c>
      <c r="BA22" s="3">
        <f t="shared" si="9"/>
        <v>0</v>
      </c>
      <c r="BB22" s="3">
        <f t="shared" si="9"/>
        <v>0</v>
      </c>
      <c r="BC22" s="3">
        <f t="shared" si="9"/>
        <v>0</v>
      </c>
      <c r="BD22" s="3">
        <f t="shared" si="9"/>
        <v>0</v>
      </c>
      <c r="BE22" s="3">
        <f t="shared" si="9"/>
        <v>0</v>
      </c>
      <c r="BF22" s="3">
        <f t="shared" si="9"/>
        <v>0</v>
      </c>
      <c r="BG22" s="3">
        <f t="shared" si="9"/>
        <v>0</v>
      </c>
      <c r="BH22" s="3">
        <f t="shared" si="9"/>
        <v>0</v>
      </c>
      <c r="BI22" s="3">
        <f t="shared" si="9"/>
        <v>0</v>
      </c>
      <c r="BJ22" s="3">
        <f t="shared" si="9"/>
        <v>0</v>
      </c>
      <c r="BK22" s="3">
        <f t="shared" si="9"/>
        <v>0</v>
      </c>
      <c r="BL22" s="3">
        <f t="shared" si="9"/>
        <v>0</v>
      </c>
      <c r="BM22" s="3">
        <f t="shared" si="9"/>
        <v>0</v>
      </c>
      <c r="BN22" s="3">
        <f t="shared" si="9"/>
        <v>0</v>
      </c>
      <c r="BO22" s="3">
        <f t="shared" si="9"/>
        <v>0</v>
      </c>
      <c r="BP22" s="3">
        <f t="shared" si="9"/>
        <v>0</v>
      </c>
      <c r="BQ22" s="3">
        <f t="shared" si="9"/>
        <v>0</v>
      </c>
      <c r="BR22" s="3">
        <f t="shared" si="9"/>
        <v>0</v>
      </c>
      <c r="BS22" s="3">
        <f t="shared" si="9"/>
        <v>0</v>
      </c>
      <c r="BT22" s="3">
        <f t="shared" si="9"/>
        <v>0</v>
      </c>
      <c r="BU22" s="3">
        <f t="shared" si="9"/>
        <v>0</v>
      </c>
      <c r="BV22" s="3">
        <f t="shared" si="9"/>
        <v>0</v>
      </c>
      <c r="BW22" s="3">
        <f t="shared" si="9"/>
        <v>0</v>
      </c>
      <c r="BX22" s="3">
        <f t="shared" si="9"/>
        <v>0</v>
      </c>
      <c r="BY22" s="3">
        <f t="shared" si="9"/>
        <v>0</v>
      </c>
      <c r="BZ22" s="3">
        <f t="shared" si="9"/>
        <v>0</v>
      </c>
      <c r="CA22" s="3">
        <f t="shared" ref="CA22:DF22" si="10">CA144</f>
        <v>0</v>
      </c>
      <c r="CB22" s="3">
        <f t="shared" si="10"/>
        <v>0</v>
      </c>
      <c r="CC22" s="3">
        <f t="shared" si="10"/>
        <v>0</v>
      </c>
      <c r="CD22" s="3">
        <f t="shared" si="10"/>
        <v>0</v>
      </c>
      <c r="CE22" s="3">
        <f t="shared" si="10"/>
        <v>0</v>
      </c>
      <c r="CF22" s="3">
        <f t="shared" si="10"/>
        <v>0</v>
      </c>
      <c r="CG22" s="3">
        <f t="shared" si="10"/>
        <v>0</v>
      </c>
      <c r="CH22" s="3">
        <f t="shared" si="10"/>
        <v>0</v>
      </c>
      <c r="CI22" s="3">
        <f t="shared" si="10"/>
        <v>0</v>
      </c>
      <c r="CJ22" s="3">
        <f t="shared" si="10"/>
        <v>0</v>
      </c>
      <c r="CK22" s="3">
        <f t="shared" si="10"/>
        <v>0</v>
      </c>
      <c r="CL22" s="3">
        <f t="shared" si="10"/>
        <v>0</v>
      </c>
      <c r="CM22" s="3">
        <f t="shared" si="10"/>
        <v>0</v>
      </c>
      <c r="CN22" s="3">
        <f t="shared" si="10"/>
        <v>0</v>
      </c>
      <c r="CO22" s="3">
        <f t="shared" si="10"/>
        <v>0</v>
      </c>
      <c r="CP22" s="3">
        <f t="shared" si="10"/>
        <v>0</v>
      </c>
      <c r="CQ22" s="3">
        <f t="shared" si="10"/>
        <v>0</v>
      </c>
      <c r="CR22" s="3">
        <f t="shared" si="10"/>
        <v>0</v>
      </c>
      <c r="CS22" s="3">
        <f t="shared" si="10"/>
        <v>0</v>
      </c>
      <c r="CT22" s="3">
        <f t="shared" si="10"/>
        <v>0</v>
      </c>
      <c r="CU22" s="3">
        <f t="shared" si="10"/>
        <v>0</v>
      </c>
      <c r="CV22" s="3">
        <f t="shared" si="10"/>
        <v>0</v>
      </c>
      <c r="CW22" s="3">
        <f t="shared" si="10"/>
        <v>0</v>
      </c>
      <c r="CX22" s="3">
        <f t="shared" si="10"/>
        <v>0</v>
      </c>
      <c r="CY22" s="3">
        <f t="shared" si="10"/>
        <v>0</v>
      </c>
      <c r="CZ22" s="3">
        <f t="shared" si="10"/>
        <v>0</v>
      </c>
      <c r="DA22" s="3">
        <f t="shared" si="10"/>
        <v>0</v>
      </c>
      <c r="DB22" s="3">
        <f t="shared" si="10"/>
        <v>0</v>
      </c>
      <c r="DC22" s="3">
        <f t="shared" si="10"/>
        <v>0</v>
      </c>
      <c r="DD22" s="3">
        <f t="shared" si="10"/>
        <v>0</v>
      </c>
      <c r="DE22" s="3">
        <f t="shared" si="10"/>
        <v>0</v>
      </c>
      <c r="DF22" s="3">
        <f t="shared" si="10"/>
        <v>0</v>
      </c>
      <c r="DG22" s="4">
        <f t="shared" ref="DG22:EL22" si="11">DG144</f>
        <v>784069.6</v>
      </c>
      <c r="DH22" s="4">
        <f t="shared" si="11"/>
        <v>310125.26</v>
      </c>
      <c r="DI22" s="4">
        <f t="shared" si="11"/>
        <v>1845</v>
      </c>
      <c r="DJ22" s="4">
        <f t="shared" si="11"/>
        <v>1350.87</v>
      </c>
      <c r="DK22" s="4">
        <f t="shared" si="11"/>
        <v>472099.34</v>
      </c>
      <c r="DL22" s="4">
        <f t="shared" si="11"/>
        <v>0</v>
      </c>
      <c r="DM22" s="4">
        <f t="shared" si="11"/>
        <v>1940.9490221599999</v>
      </c>
      <c r="DN22" s="4">
        <f t="shared" si="11"/>
        <v>3.6644747999999998</v>
      </c>
      <c r="DO22" s="4">
        <f t="shared" si="11"/>
        <v>0</v>
      </c>
      <c r="DP22" s="4">
        <f t="shared" si="11"/>
        <v>499798.45</v>
      </c>
      <c r="DQ22" s="4">
        <f t="shared" si="11"/>
        <v>303761.99</v>
      </c>
      <c r="DR22" s="4">
        <f t="shared" si="11"/>
        <v>0</v>
      </c>
      <c r="DS22" s="4">
        <f t="shared" si="11"/>
        <v>0</v>
      </c>
      <c r="DT22" s="4">
        <f t="shared" si="11"/>
        <v>0</v>
      </c>
      <c r="DU22" s="4">
        <f t="shared" si="11"/>
        <v>0</v>
      </c>
      <c r="DV22" s="4">
        <f t="shared" si="11"/>
        <v>0</v>
      </c>
      <c r="DW22" s="4">
        <f t="shared" si="11"/>
        <v>0</v>
      </c>
      <c r="DX22" s="4">
        <f t="shared" si="11"/>
        <v>0</v>
      </c>
      <c r="DY22" s="4">
        <f t="shared" si="11"/>
        <v>0</v>
      </c>
      <c r="DZ22" s="4">
        <f t="shared" si="11"/>
        <v>0</v>
      </c>
      <c r="EA22" s="4">
        <f t="shared" si="11"/>
        <v>0</v>
      </c>
      <c r="EB22" s="4">
        <f t="shared" si="11"/>
        <v>0</v>
      </c>
      <c r="EC22" s="4">
        <f t="shared" si="11"/>
        <v>0</v>
      </c>
      <c r="ED22" s="4">
        <f t="shared" si="11"/>
        <v>0</v>
      </c>
      <c r="EE22" s="4">
        <f t="shared" si="11"/>
        <v>0</v>
      </c>
      <c r="EF22" s="4">
        <f t="shared" si="11"/>
        <v>0</v>
      </c>
      <c r="EG22" s="4">
        <f t="shared" si="11"/>
        <v>0</v>
      </c>
      <c r="EH22" s="4">
        <f t="shared" si="11"/>
        <v>0</v>
      </c>
      <c r="EI22" s="4">
        <f t="shared" si="11"/>
        <v>0</v>
      </c>
      <c r="EJ22" s="4">
        <f t="shared" si="11"/>
        <v>1648043.46</v>
      </c>
      <c r="EK22" s="4">
        <f t="shared" si="11"/>
        <v>1357043.06</v>
      </c>
      <c r="EL22" s="4">
        <f t="shared" si="11"/>
        <v>0</v>
      </c>
      <c r="EM22" s="4">
        <f t="shared" ref="EM22:FR22" si="12">EM144</f>
        <v>291000.40000000002</v>
      </c>
      <c r="EN22" s="4">
        <f t="shared" si="12"/>
        <v>310125.26</v>
      </c>
      <c r="EO22" s="4">
        <f t="shared" si="12"/>
        <v>310125.26</v>
      </c>
      <c r="EP22" s="4">
        <f t="shared" si="12"/>
        <v>0</v>
      </c>
      <c r="EQ22" s="4">
        <f t="shared" si="12"/>
        <v>310125.26</v>
      </c>
      <c r="ER22" s="4">
        <f t="shared" si="12"/>
        <v>0</v>
      </c>
      <c r="ES22" s="4">
        <f t="shared" si="12"/>
        <v>0</v>
      </c>
      <c r="ET22" s="4">
        <f t="shared" si="12"/>
        <v>0</v>
      </c>
      <c r="EU22" s="4">
        <f t="shared" si="12"/>
        <v>0</v>
      </c>
      <c r="EV22" s="4">
        <f t="shared" si="12"/>
        <v>0</v>
      </c>
      <c r="EW22" s="4">
        <f t="shared" si="12"/>
        <v>0</v>
      </c>
      <c r="EX22" s="4">
        <f t="shared" si="12"/>
        <v>0</v>
      </c>
      <c r="EY22" s="4">
        <f t="shared" si="12"/>
        <v>0</v>
      </c>
      <c r="EZ22" s="4">
        <f t="shared" si="12"/>
        <v>0</v>
      </c>
      <c r="FA22" s="4">
        <f t="shared" si="12"/>
        <v>0</v>
      </c>
      <c r="FB22" s="4">
        <f t="shared" si="12"/>
        <v>0</v>
      </c>
      <c r="FC22" s="4">
        <f t="shared" si="12"/>
        <v>0</v>
      </c>
      <c r="FD22" s="4">
        <f t="shared" si="12"/>
        <v>0</v>
      </c>
      <c r="FE22" s="4">
        <f t="shared" si="12"/>
        <v>0</v>
      </c>
      <c r="FF22" s="4">
        <f t="shared" si="12"/>
        <v>0</v>
      </c>
      <c r="FG22" s="4">
        <f t="shared" si="12"/>
        <v>0</v>
      </c>
      <c r="FH22" s="4">
        <f t="shared" si="12"/>
        <v>0</v>
      </c>
      <c r="FI22" s="4">
        <f t="shared" si="12"/>
        <v>0</v>
      </c>
      <c r="FJ22" s="4">
        <f t="shared" si="12"/>
        <v>0</v>
      </c>
      <c r="FK22" s="4">
        <f t="shared" si="12"/>
        <v>0</v>
      </c>
      <c r="FL22" s="4">
        <f t="shared" si="12"/>
        <v>0</v>
      </c>
      <c r="FM22" s="4">
        <f t="shared" si="12"/>
        <v>0</v>
      </c>
      <c r="FN22" s="4">
        <f t="shared" si="12"/>
        <v>0</v>
      </c>
      <c r="FO22" s="4">
        <f t="shared" si="12"/>
        <v>0</v>
      </c>
      <c r="FP22" s="4">
        <f t="shared" si="12"/>
        <v>0</v>
      </c>
      <c r="FQ22" s="4">
        <f t="shared" si="12"/>
        <v>0</v>
      </c>
      <c r="FR22" s="4">
        <f t="shared" si="12"/>
        <v>0</v>
      </c>
      <c r="FS22" s="4">
        <f t="shared" ref="FS22:GX22" si="13">FS144</f>
        <v>0</v>
      </c>
      <c r="FT22" s="4">
        <f t="shared" si="13"/>
        <v>0</v>
      </c>
      <c r="FU22" s="4">
        <f t="shared" si="13"/>
        <v>0</v>
      </c>
      <c r="FV22" s="4">
        <f t="shared" si="13"/>
        <v>0</v>
      </c>
      <c r="FW22" s="4">
        <f t="shared" si="13"/>
        <v>0</v>
      </c>
      <c r="FX22" s="4">
        <f t="shared" si="13"/>
        <v>0</v>
      </c>
      <c r="FY22" s="4">
        <f t="shared" si="13"/>
        <v>0</v>
      </c>
      <c r="FZ22" s="4">
        <f t="shared" si="13"/>
        <v>0</v>
      </c>
      <c r="GA22" s="4">
        <f t="shared" si="13"/>
        <v>0</v>
      </c>
      <c r="GB22" s="4">
        <f t="shared" si="13"/>
        <v>0</v>
      </c>
      <c r="GC22" s="4">
        <f t="shared" si="13"/>
        <v>0</v>
      </c>
      <c r="GD22" s="4">
        <f t="shared" si="13"/>
        <v>0</v>
      </c>
      <c r="GE22" s="4">
        <f t="shared" si="13"/>
        <v>0</v>
      </c>
      <c r="GF22" s="4">
        <f t="shared" si="13"/>
        <v>0</v>
      </c>
      <c r="GG22" s="4">
        <f t="shared" si="13"/>
        <v>0</v>
      </c>
      <c r="GH22" s="4">
        <f t="shared" si="13"/>
        <v>0</v>
      </c>
      <c r="GI22" s="4">
        <f t="shared" si="13"/>
        <v>0</v>
      </c>
      <c r="GJ22" s="4">
        <f t="shared" si="13"/>
        <v>0</v>
      </c>
      <c r="GK22" s="4">
        <f t="shared" si="13"/>
        <v>0</v>
      </c>
      <c r="GL22" s="4">
        <f t="shared" si="13"/>
        <v>0</v>
      </c>
      <c r="GM22" s="4">
        <f t="shared" si="13"/>
        <v>0</v>
      </c>
      <c r="GN22" s="4">
        <f t="shared" si="13"/>
        <v>0</v>
      </c>
      <c r="GO22" s="4">
        <f t="shared" si="13"/>
        <v>0</v>
      </c>
      <c r="GP22" s="4">
        <f t="shared" si="13"/>
        <v>0</v>
      </c>
      <c r="GQ22" s="4">
        <f t="shared" si="13"/>
        <v>0</v>
      </c>
      <c r="GR22" s="4">
        <f t="shared" si="13"/>
        <v>0</v>
      </c>
      <c r="GS22" s="4">
        <f t="shared" si="13"/>
        <v>0</v>
      </c>
      <c r="GT22" s="4">
        <f t="shared" si="13"/>
        <v>0</v>
      </c>
      <c r="GU22" s="4">
        <f t="shared" si="13"/>
        <v>0</v>
      </c>
      <c r="GV22" s="4">
        <f t="shared" si="13"/>
        <v>0</v>
      </c>
      <c r="GW22" s="4">
        <f t="shared" si="13"/>
        <v>0</v>
      </c>
      <c r="GX22" s="4">
        <f t="shared" si="13"/>
        <v>0</v>
      </c>
    </row>
    <row r="24" spans="1:255" x14ac:dyDescent="0.2">
      <c r="A24" s="67">
        <v>4</v>
      </c>
      <c r="B24" s="1">
        <v>1</v>
      </c>
      <c r="C24" s="1"/>
      <c r="D24" s="1">
        <f>ROW(A35)</f>
        <v>35</v>
      </c>
      <c r="E24" s="1"/>
      <c r="F24" s="1" t="s">
        <v>14</v>
      </c>
      <c r="G24" s="1" t="s">
        <v>15</v>
      </c>
      <c r="H24" s="1" t="s">
        <v>3</v>
      </c>
      <c r="I24" s="1">
        <v>0</v>
      </c>
      <c r="J24" s="1"/>
      <c r="K24" s="1">
        <v>0</v>
      </c>
      <c r="L24" s="1"/>
      <c r="M24" s="1"/>
      <c r="N24" s="1"/>
      <c r="O24" s="1"/>
      <c r="P24" s="1"/>
      <c r="Q24" s="1"/>
      <c r="R24" s="1"/>
      <c r="S24" s="1"/>
      <c r="T24" s="1"/>
      <c r="U24" s="1" t="s">
        <v>3</v>
      </c>
      <c r="V24" s="1">
        <v>0</v>
      </c>
      <c r="W24" s="1"/>
      <c r="X24" s="1"/>
      <c r="Y24" s="1"/>
      <c r="Z24" s="1"/>
      <c r="AA24" s="1"/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/>
      <c r="AI24" s="1"/>
      <c r="AJ24" s="1"/>
      <c r="AK24" s="1"/>
      <c r="AL24" s="1"/>
      <c r="AM24" s="1"/>
      <c r="AN24" s="1"/>
      <c r="AO24" s="1"/>
      <c r="AP24" s="1" t="s">
        <v>3</v>
      </c>
      <c r="AQ24" s="1" t="s">
        <v>3</v>
      </c>
      <c r="AR24" s="1" t="s">
        <v>3</v>
      </c>
      <c r="AS24" s="1"/>
      <c r="AT24" s="1"/>
      <c r="AU24" s="1"/>
      <c r="AV24" s="1"/>
      <c r="AW24" s="1"/>
      <c r="AX24" s="1"/>
      <c r="AY24" s="1"/>
      <c r="AZ24" s="1" t="s">
        <v>3</v>
      </c>
      <c r="BA24" s="1"/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/>
      <c r="BR24" s="1"/>
      <c r="BS24" s="1"/>
      <c r="BT24" s="1"/>
      <c r="BU24" s="1"/>
      <c r="BV24" s="1"/>
      <c r="BW24" s="1"/>
      <c r="BX24" s="1">
        <v>0</v>
      </c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>
        <v>0</v>
      </c>
    </row>
    <row r="26" spans="1:255" x14ac:dyDescent="0.2">
      <c r="A26" s="68">
        <v>52</v>
      </c>
      <c r="B26" s="3">
        <f t="shared" ref="B26:G26" si="14">B35</f>
        <v>1</v>
      </c>
      <c r="C26" s="3">
        <f t="shared" si="14"/>
        <v>4</v>
      </c>
      <c r="D26" s="3">
        <f t="shared" si="14"/>
        <v>24</v>
      </c>
      <c r="E26" s="3">
        <f t="shared" si="14"/>
        <v>0</v>
      </c>
      <c r="F26" s="3" t="str">
        <f t="shared" si="14"/>
        <v>Новый раздел</v>
      </c>
      <c r="G26" s="3" t="str">
        <f t="shared" si="14"/>
        <v>№1 Стены и перегородки.</v>
      </c>
      <c r="H26" s="3"/>
      <c r="I26" s="3"/>
      <c r="J26" s="3"/>
      <c r="K26" s="3"/>
      <c r="L26" s="3"/>
      <c r="M26" s="3"/>
      <c r="N26" s="3"/>
      <c r="O26" s="3">
        <f t="shared" ref="O26:AT26" si="15">O35</f>
        <v>12045.55</v>
      </c>
      <c r="P26" s="3">
        <f t="shared" si="15"/>
        <v>0</v>
      </c>
      <c r="Q26" s="3">
        <f t="shared" si="15"/>
        <v>165.85</v>
      </c>
      <c r="R26" s="3">
        <f t="shared" si="15"/>
        <v>37.71</v>
      </c>
      <c r="S26" s="3">
        <f t="shared" si="15"/>
        <v>11879.7</v>
      </c>
      <c r="T26" s="3">
        <f t="shared" si="15"/>
        <v>0</v>
      </c>
      <c r="U26" s="3">
        <f t="shared" si="15"/>
        <v>1457.9108271</v>
      </c>
      <c r="V26" s="3">
        <f t="shared" si="15"/>
        <v>3.0931004999999998</v>
      </c>
      <c r="W26" s="3">
        <f t="shared" si="15"/>
        <v>0</v>
      </c>
      <c r="X26" s="3">
        <f t="shared" si="15"/>
        <v>12938.38</v>
      </c>
      <c r="Y26" s="3">
        <f t="shared" si="15"/>
        <v>7829.88</v>
      </c>
      <c r="Z26" s="3">
        <f t="shared" si="15"/>
        <v>0</v>
      </c>
      <c r="AA26" s="3">
        <f t="shared" si="15"/>
        <v>0</v>
      </c>
      <c r="AB26" s="3">
        <f t="shared" si="15"/>
        <v>12045.55</v>
      </c>
      <c r="AC26" s="3">
        <f t="shared" si="15"/>
        <v>0</v>
      </c>
      <c r="AD26" s="3">
        <f t="shared" si="15"/>
        <v>165.85</v>
      </c>
      <c r="AE26" s="3">
        <f t="shared" si="15"/>
        <v>37.71</v>
      </c>
      <c r="AF26" s="3">
        <f t="shared" si="15"/>
        <v>11879.7</v>
      </c>
      <c r="AG26" s="3">
        <f t="shared" si="15"/>
        <v>0</v>
      </c>
      <c r="AH26" s="3">
        <f t="shared" si="15"/>
        <v>1457.9108271</v>
      </c>
      <c r="AI26" s="3">
        <f t="shared" si="15"/>
        <v>3.0931004999999998</v>
      </c>
      <c r="AJ26" s="3">
        <f t="shared" si="15"/>
        <v>0</v>
      </c>
      <c r="AK26" s="3">
        <f t="shared" si="15"/>
        <v>12938.38</v>
      </c>
      <c r="AL26" s="3">
        <f t="shared" si="15"/>
        <v>7829.88</v>
      </c>
      <c r="AM26" s="3">
        <f t="shared" si="15"/>
        <v>0</v>
      </c>
      <c r="AN26" s="3">
        <f t="shared" si="15"/>
        <v>0</v>
      </c>
      <c r="AO26" s="3">
        <f t="shared" si="15"/>
        <v>0</v>
      </c>
      <c r="AP26" s="3">
        <f t="shared" si="15"/>
        <v>0</v>
      </c>
      <c r="AQ26" s="3">
        <f t="shared" si="15"/>
        <v>0</v>
      </c>
      <c r="AR26" s="3">
        <f t="shared" si="15"/>
        <v>32813.81</v>
      </c>
      <c r="AS26" s="3">
        <f t="shared" si="15"/>
        <v>32813.81</v>
      </c>
      <c r="AT26" s="3">
        <f t="shared" si="15"/>
        <v>0</v>
      </c>
      <c r="AU26" s="3">
        <f t="shared" ref="AU26:BZ26" si="16">AU35</f>
        <v>0</v>
      </c>
      <c r="AV26" s="3">
        <f t="shared" si="16"/>
        <v>0</v>
      </c>
      <c r="AW26" s="3">
        <f t="shared" si="16"/>
        <v>0</v>
      </c>
      <c r="AX26" s="3">
        <f t="shared" si="16"/>
        <v>0</v>
      </c>
      <c r="AY26" s="3">
        <f t="shared" si="16"/>
        <v>0</v>
      </c>
      <c r="AZ26" s="3">
        <f t="shared" si="16"/>
        <v>0</v>
      </c>
      <c r="BA26" s="3">
        <f t="shared" si="16"/>
        <v>0</v>
      </c>
      <c r="BB26" s="3">
        <f t="shared" si="16"/>
        <v>0</v>
      </c>
      <c r="BC26" s="3">
        <f t="shared" si="16"/>
        <v>0</v>
      </c>
      <c r="BD26" s="3">
        <f t="shared" si="16"/>
        <v>0</v>
      </c>
      <c r="BE26" s="3">
        <f t="shared" si="16"/>
        <v>0</v>
      </c>
      <c r="BF26" s="3">
        <f t="shared" si="16"/>
        <v>0</v>
      </c>
      <c r="BG26" s="3">
        <f t="shared" si="16"/>
        <v>0</v>
      </c>
      <c r="BH26" s="3">
        <f t="shared" si="16"/>
        <v>0</v>
      </c>
      <c r="BI26" s="3">
        <f t="shared" si="16"/>
        <v>0</v>
      </c>
      <c r="BJ26" s="3">
        <f t="shared" si="16"/>
        <v>0</v>
      </c>
      <c r="BK26" s="3">
        <f t="shared" si="16"/>
        <v>0</v>
      </c>
      <c r="BL26" s="3">
        <f t="shared" si="16"/>
        <v>0</v>
      </c>
      <c r="BM26" s="3">
        <f t="shared" si="16"/>
        <v>0</v>
      </c>
      <c r="BN26" s="3">
        <f t="shared" si="16"/>
        <v>0</v>
      </c>
      <c r="BO26" s="3">
        <f t="shared" si="16"/>
        <v>0</v>
      </c>
      <c r="BP26" s="3">
        <f t="shared" si="16"/>
        <v>0</v>
      </c>
      <c r="BQ26" s="3">
        <f t="shared" si="16"/>
        <v>0</v>
      </c>
      <c r="BR26" s="3">
        <f t="shared" si="16"/>
        <v>0</v>
      </c>
      <c r="BS26" s="3">
        <f t="shared" si="16"/>
        <v>0</v>
      </c>
      <c r="BT26" s="3">
        <f t="shared" si="16"/>
        <v>0</v>
      </c>
      <c r="BU26" s="3">
        <f t="shared" si="16"/>
        <v>0</v>
      </c>
      <c r="BV26" s="3">
        <f t="shared" si="16"/>
        <v>0</v>
      </c>
      <c r="BW26" s="3">
        <f t="shared" si="16"/>
        <v>0</v>
      </c>
      <c r="BX26" s="3">
        <f t="shared" si="16"/>
        <v>0</v>
      </c>
      <c r="BY26" s="3">
        <f t="shared" si="16"/>
        <v>0</v>
      </c>
      <c r="BZ26" s="3">
        <f t="shared" si="16"/>
        <v>0</v>
      </c>
      <c r="CA26" s="3">
        <f t="shared" ref="CA26:DF26" si="17">CA35</f>
        <v>32813.81</v>
      </c>
      <c r="CB26" s="3">
        <f t="shared" si="17"/>
        <v>32813.81</v>
      </c>
      <c r="CC26" s="3">
        <f t="shared" si="17"/>
        <v>0</v>
      </c>
      <c r="CD26" s="3">
        <f t="shared" si="17"/>
        <v>0</v>
      </c>
      <c r="CE26" s="3">
        <f t="shared" si="17"/>
        <v>0</v>
      </c>
      <c r="CF26" s="3">
        <f t="shared" si="17"/>
        <v>0</v>
      </c>
      <c r="CG26" s="3">
        <f t="shared" si="17"/>
        <v>0</v>
      </c>
      <c r="CH26" s="3">
        <f t="shared" si="17"/>
        <v>0</v>
      </c>
      <c r="CI26" s="3">
        <f t="shared" si="17"/>
        <v>0</v>
      </c>
      <c r="CJ26" s="3">
        <f t="shared" si="17"/>
        <v>0</v>
      </c>
      <c r="CK26" s="3">
        <f t="shared" si="17"/>
        <v>0</v>
      </c>
      <c r="CL26" s="3">
        <f t="shared" si="17"/>
        <v>0</v>
      </c>
      <c r="CM26" s="3">
        <f t="shared" si="17"/>
        <v>0</v>
      </c>
      <c r="CN26" s="3">
        <f t="shared" si="17"/>
        <v>0</v>
      </c>
      <c r="CO26" s="3">
        <f t="shared" si="17"/>
        <v>0</v>
      </c>
      <c r="CP26" s="3">
        <f t="shared" si="17"/>
        <v>0</v>
      </c>
      <c r="CQ26" s="3">
        <f t="shared" si="17"/>
        <v>0</v>
      </c>
      <c r="CR26" s="3">
        <f t="shared" si="17"/>
        <v>0</v>
      </c>
      <c r="CS26" s="3">
        <f t="shared" si="17"/>
        <v>0</v>
      </c>
      <c r="CT26" s="3">
        <f t="shared" si="17"/>
        <v>0</v>
      </c>
      <c r="CU26" s="3">
        <f t="shared" si="17"/>
        <v>0</v>
      </c>
      <c r="CV26" s="3">
        <f t="shared" si="17"/>
        <v>0</v>
      </c>
      <c r="CW26" s="3">
        <f t="shared" si="17"/>
        <v>0</v>
      </c>
      <c r="CX26" s="3">
        <f t="shared" si="17"/>
        <v>0</v>
      </c>
      <c r="CY26" s="3">
        <f t="shared" si="17"/>
        <v>0</v>
      </c>
      <c r="CZ26" s="3">
        <f t="shared" si="17"/>
        <v>0</v>
      </c>
      <c r="DA26" s="3">
        <f t="shared" si="17"/>
        <v>0</v>
      </c>
      <c r="DB26" s="3">
        <f t="shared" si="17"/>
        <v>0</v>
      </c>
      <c r="DC26" s="3">
        <f t="shared" si="17"/>
        <v>0</v>
      </c>
      <c r="DD26" s="3">
        <f t="shared" si="17"/>
        <v>0</v>
      </c>
      <c r="DE26" s="3">
        <f t="shared" si="17"/>
        <v>0</v>
      </c>
      <c r="DF26" s="3">
        <f t="shared" si="17"/>
        <v>0</v>
      </c>
      <c r="DG26" s="4">
        <f t="shared" ref="DG26:EL26" si="18">DG35</f>
        <v>360799.27</v>
      </c>
      <c r="DH26" s="4">
        <f t="shared" si="18"/>
        <v>0</v>
      </c>
      <c r="DI26" s="4">
        <f t="shared" si="18"/>
        <v>1557.32</v>
      </c>
      <c r="DJ26" s="4">
        <f t="shared" si="18"/>
        <v>1140.24</v>
      </c>
      <c r="DK26" s="4">
        <f t="shared" si="18"/>
        <v>359241.95</v>
      </c>
      <c r="DL26" s="4">
        <f t="shared" si="18"/>
        <v>0</v>
      </c>
      <c r="DM26" s="4">
        <f t="shared" si="18"/>
        <v>1457.9108271</v>
      </c>
      <c r="DN26" s="4">
        <f t="shared" si="18"/>
        <v>3.0931004999999998</v>
      </c>
      <c r="DO26" s="4">
        <f t="shared" si="18"/>
        <v>0</v>
      </c>
      <c r="DP26" s="4">
        <f t="shared" si="18"/>
        <v>391256.36</v>
      </c>
      <c r="DQ26" s="4">
        <f t="shared" si="18"/>
        <v>236775.41</v>
      </c>
      <c r="DR26" s="4">
        <f t="shared" si="18"/>
        <v>0</v>
      </c>
      <c r="DS26" s="4">
        <f t="shared" si="18"/>
        <v>0</v>
      </c>
      <c r="DT26" s="4">
        <f t="shared" si="18"/>
        <v>360799.27</v>
      </c>
      <c r="DU26" s="4">
        <f t="shared" si="18"/>
        <v>0</v>
      </c>
      <c r="DV26" s="4">
        <f t="shared" si="18"/>
        <v>1557.32</v>
      </c>
      <c r="DW26" s="4">
        <f t="shared" si="18"/>
        <v>1140.24</v>
      </c>
      <c r="DX26" s="4">
        <f t="shared" si="18"/>
        <v>359241.95</v>
      </c>
      <c r="DY26" s="4">
        <f t="shared" si="18"/>
        <v>0</v>
      </c>
      <c r="DZ26" s="4">
        <f t="shared" si="18"/>
        <v>1457.9108271</v>
      </c>
      <c r="EA26" s="4">
        <f t="shared" si="18"/>
        <v>3.0931004999999998</v>
      </c>
      <c r="EB26" s="4">
        <f t="shared" si="18"/>
        <v>0</v>
      </c>
      <c r="EC26" s="4">
        <f t="shared" si="18"/>
        <v>391256.36</v>
      </c>
      <c r="ED26" s="4">
        <f t="shared" si="18"/>
        <v>236775.41</v>
      </c>
      <c r="EE26" s="4">
        <f t="shared" si="18"/>
        <v>0</v>
      </c>
      <c r="EF26" s="4">
        <f t="shared" si="18"/>
        <v>0</v>
      </c>
      <c r="EG26" s="4">
        <f t="shared" si="18"/>
        <v>0</v>
      </c>
      <c r="EH26" s="4">
        <f t="shared" si="18"/>
        <v>0</v>
      </c>
      <c r="EI26" s="4">
        <f t="shared" si="18"/>
        <v>0</v>
      </c>
      <c r="EJ26" s="4">
        <f t="shared" si="18"/>
        <v>988831.04</v>
      </c>
      <c r="EK26" s="4">
        <f t="shared" si="18"/>
        <v>988831.04</v>
      </c>
      <c r="EL26" s="4">
        <f t="shared" si="18"/>
        <v>0</v>
      </c>
      <c r="EM26" s="4">
        <f t="shared" ref="EM26:FR26" si="19">EM35</f>
        <v>0</v>
      </c>
      <c r="EN26" s="4">
        <f t="shared" si="19"/>
        <v>0</v>
      </c>
      <c r="EO26" s="4">
        <f t="shared" si="19"/>
        <v>0</v>
      </c>
      <c r="EP26" s="4">
        <f t="shared" si="19"/>
        <v>0</v>
      </c>
      <c r="EQ26" s="4">
        <f t="shared" si="19"/>
        <v>0</v>
      </c>
      <c r="ER26" s="4">
        <f t="shared" si="19"/>
        <v>0</v>
      </c>
      <c r="ES26" s="4">
        <f t="shared" si="19"/>
        <v>0</v>
      </c>
      <c r="ET26" s="4">
        <f t="shared" si="19"/>
        <v>0</v>
      </c>
      <c r="EU26" s="4">
        <f t="shared" si="19"/>
        <v>0</v>
      </c>
      <c r="EV26" s="4">
        <f t="shared" si="19"/>
        <v>0</v>
      </c>
      <c r="EW26" s="4">
        <f t="shared" si="19"/>
        <v>0</v>
      </c>
      <c r="EX26" s="4">
        <f t="shared" si="19"/>
        <v>0</v>
      </c>
      <c r="EY26" s="4">
        <f t="shared" si="19"/>
        <v>0</v>
      </c>
      <c r="EZ26" s="4">
        <f t="shared" si="19"/>
        <v>0</v>
      </c>
      <c r="FA26" s="4">
        <f t="shared" si="19"/>
        <v>0</v>
      </c>
      <c r="FB26" s="4">
        <f t="shared" si="19"/>
        <v>0</v>
      </c>
      <c r="FC26" s="4">
        <f t="shared" si="19"/>
        <v>0</v>
      </c>
      <c r="FD26" s="4">
        <f t="shared" si="19"/>
        <v>0</v>
      </c>
      <c r="FE26" s="4">
        <f t="shared" si="19"/>
        <v>0</v>
      </c>
      <c r="FF26" s="4">
        <f t="shared" si="19"/>
        <v>0</v>
      </c>
      <c r="FG26" s="4">
        <f t="shared" si="19"/>
        <v>0</v>
      </c>
      <c r="FH26" s="4">
        <f t="shared" si="19"/>
        <v>0</v>
      </c>
      <c r="FI26" s="4">
        <f t="shared" si="19"/>
        <v>0</v>
      </c>
      <c r="FJ26" s="4">
        <f t="shared" si="19"/>
        <v>0</v>
      </c>
      <c r="FK26" s="4">
        <f t="shared" si="19"/>
        <v>0</v>
      </c>
      <c r="FL26" s="4">
        <f t="shared" si="19"/>
        <v>0</v>
      </c>
      <c r="FM26" s="4">
        <f t="shared" si="19"/>
        <v>0</v>
      </c>
      <c r="FN26" s="4">
        <f t="shared" si="19"/>
        <v>0</v>
      </c>
      <c r="FO26" s="4">
        <f t="shared" si="19"/>
        <v>0</v>
      </c>
      <c r="FP26" s="4">
        <f t="shared" si="19"/>
        <v>0</v>
      </c>
      <c r="FQ26" s="4">
        <f t="shared" si="19"/>
        <v>0</v>
      </c>
      <c r="FR26" s="4">
        <f t="shared" si="19"/>
        <v>0</v>
      </c>
      <c r="FS26" s="4">
        <f t="shared" ref="FS26:GX26" si="20">FS35</f>
        <v>988831.04</v>
      </c>
      <c r="FT26" s="4">
        <f t="shared" si="20"/>
        <v>988831.04</v>
      </c>
      <c r="FU26" s="4">
        <f t="shared" si="20"/>
        <v>0</v>
      </c>
      <c r="FV26" s="4">
        <f t="shared" si="20"/>
        <v>0</v>
      </c>
      <c r="FW26" s="4">
        <f t="shared" si="20"/>
        <v>0</v>
      </c>
      <c r="FX26" s="4">
        <f t="shared" si="20"/>
        <v>0</v>
      </c>
      <c r="FY26" s="4">
        <f t="shared" si="20"/>
        <v>0</v>
      </c>
      <c r="FZ26" s="4">
        <f t="shared" si="20"/>
        <v>0</v>
      </c>
      <c r="GA26" s="4">
        <f t="shared" si="20"/>
        <v>0</v>
      </c>
      <c r="GB26" s="4">
        <f t="shared" si="20"/>
        <v>0</v>
      </c>
      <c r="GC26" s="4">
        <f t="shared" si="20"/>
        <v>0</v>
      </c>
      <c r="GD26" s="4">
        <f t="shared" si="20"/>
        <v>0</v>
      </c>
      <c r="GE26" s="4">
        <f t="shared" si="20"/>
        <v>0</v>
      </c>
      <c r="GF26" s="4">
        <f t="shared" si="20"/>
        <v>0</v>
      </c>
      <c r="GG26" s="4">
        <f t="shared" si="20"/>
        <v>0</v>
      </c>
      <c r="GH26" s="4">
        <f t="shared" si="20"/>
        <v>0</v>
      </c>
      <c r="GI26" s="4">
        <f t="shared" si="20"/>
        <v>0</v>
      </c>
      <c r="GJ26" s="4">
        <f t="shared" si="20"/>
        <v>0</v>
      </c>
      <c r="GK26" s="4">
        <f t="shared" si="20"/>
        <v>0</v>
      </c>
      <c r="GL26" s="4">
        <f t="shared" si="20"/>
        <v>0</v>
      </c>
      <c r="GM26" s="4">
        <f t="shared" si="20"/>
        <v>0</v>
      </c>
      <c r="GN26" s="4">
        <f t="shared" si="20"/>
        <v>0</v>
      </c>
      <c r="GO26" s="4">
        <f t="shared" si="20"/>
        <v>0</v>
      </c>
      <c r="GP26" s="4">
        <f t="shared" si="20"/>
        <v>0</v>
      </c>
      <c r="GQ26" s="4">
        <f t="shared" si="20"/>
        <v>0</v>
      </c>
      <c r="GR26" s="4">
        <f t="shared" si="20"/>
        <v>0</v>
      </c>
      <c r="GS26" s="4">
        <f t="shared" si="20"/>
        <v>0</v>
      </c>
      <c r="GT26" s="4">
        <f t="shared" si="20"/>
        <v>0</v>
      </c>
      <c r="GU26" s="4">
        <f t="shared" si="20"/>
        <v>0</v>
      </c>
      <c r="GV26" s="4">
        <f t="shared" si="20"/>
        <v>0</v>
      </c>
      <c r="GW26" s="4">
        <f t="shared" si="20"/>
        <v>0</v>
      </c>
      <c r="GX26" s="4">
        <f t="shared" si="20"/>
        <v>0</v>
      </c>
    </row>
    <row r="28" spans="1:255" x14ac:dyDescent="0.2">
      <c r="A28" s="69">
        <v>17</v>
      </c>
      <c r="B28" s="2">
        <v>1</v>
      </c>
      <c r="C28" s="2">
        <f>ROW(SmtRes!A1)</f>
        <v>1</v>
      </c>
      <c r="D28" s="2">
        <f>ROW(EtalonRes!A1)</f>
        <v>1</v>
      </c>
      <c r="E28" s="69" t="s">
        <v>3</v>
      </c>
      <c r="F28" s="2" t="s">
        <v>16</v>
      </c>
      <c r="G28" s="2" t="s">
        <v>17</v>
      </c>
      <c r="H28" s="2" t="s">
        <v>18</v>
      </c>
      <c r="I28" s="2">
        <f>ROUND(2104.15/100,9)</f>
        <v>21.041499999999999</v>
      </c>
      <c r="J28" s="2">
        <v>0</v>
      </c>
      <c r="K28" s="2"/>
      <c r="L28" s="2"/>
      <c r="M28" s="2"/>
      <c r="N28" s="2"/>
      <c r="O28" s="2">
        <f t="shared" ref="O28:O33" si="21">ROUND(CP28,2)</f>
        <v>4845.0200000000004</v>
      </c>
      <c r="P28" s="2">
        <f t="shared" ref="P28:P33" si="22">ROUND(CQ28*I28,2)</f>
        <v>0</v>
      </c>
      <c r="Q28" s="2">
        <f t="shared" ref="Q28:Q33" si="23">ROUND(CR28*I28,2)</f>
        <v>0</v>
      </c>
      <c r="R28" s="2">
        <f t="shared" ref="R28:R33" si="24">ROUND(CS28*I28,2)</f>
        <v>0</v>
      </c>
      <c r="S28" s="2">
        <f t="shared" ref="S28:S33" si="25">ROUND(CT28*I28,2)</f>
        <v>4845.0200000000004</v>
      </c>
      <c r="T28" s="2">
        <f t="shared" ref="T28:T33" si="26">ROUND(CU28*I28,2)</f>
        <v>0</v>
      </c>
      <c r="U28" s="2">
        <f t="shared" ref="U28:U33" si="27">CV28*I28</f>
        <v>621.14508000000001</v>
      </c>
      <c r="V28" s="2">
        <f t="shared" ref="V28:V33" si="28">CW28*I28</f>
        <v>0</v>
      </c>
      <c r="W28" s="2">
        <f t="shared" ref="W28:W33" si="29">ROUND(CX28*I28,2)</f>
        <v>0</v>
      </c>
      <c r="X28" s="2">
        <f t="shared" ref="X28:Y33" si="30">ROUND(CY28,2)</f>
        <v>5329.52</v>
      </c>
      <c r="Y28" s="2">
        <f t="shared" si="30"/>
        <v>3391.51</v>
      </c>
      <c r="Z28" s="2"/>
      <c r="AA28" s="2">
        <v>-1</v>
      </c>
      <c r="AB28" s="2">
        <f t="shared" ref="AB28:AB33" si="31">ROUND((AC28+AD28+AF28),6)</f>
        <v>230.26</v>
      </c>
      <c r="AC28" s="2">
        <f>ROUND((ES28),6)</f>
        <v>0</v>
      </c>
      <c r="AD28" s="2">
        <f>ROUND((((ET28)-(EU28))+AE28),6)</f>
        <v>0</v>
      </c>
      <c r="AE28" s="2">
        <f>ROUND((EU28),6)</f>
        <v>0</v>
      </c>
      <c r="AF28" s="2">
        <f>ROUND((EV28),6)</f>
        <v>230.26</v>
      </c>
      <c r="AG28" s="2">
        <f t="shared" ref="AG28:AG33" si="32">ROUND((AP28),6)</f>
        <v>0</v>
      </c>
      <c r="AH28" s="2">
        <f>(EW28)</f>
        <v>29.52</v>
      </c>
      <c r="AI28" s="2">
        <f>(EX28)</f>
        <v>0</v>
      </c>
      <c r="AJ28" s="2">
        <f t="shared" ref="AJ28:AJ33" si="33">(AS28)</f>
        <v>0</v>
      </c>
      <c r="AK28" s="2">
        <v>230.26</v>
      </c>
      <c r="AL28" s="2">
        <v>0</v>
      </c>
      <c r="AM28" s="2">
        <v>0</v>
      </c>
      <c r="AN28" s="2">
        <v>0</v>
      </c>
      <c r="AO28" s="2">
        <v>230.26</v>
      </c>
      <c r="AP28" s="2">
        <v>0</v>
      </c>
      <c r="AQ28" s="2">
        <v>29.52</v>
      </c>
      <c r="AR28" s="2">
        <v>0</v>
      </c>
      <c r="AS28" s="2">
        <v>0</v>
      </c>
      <c r="AT28" s="2">
        <v>110</v>
      </c>
      <c r="AU28" s="2">
        <v>70</v>
      </c>
      <c r="AV28" s="2">
        <v>1</v>
      </c>
      <c r="AW28" s="2">
        <v>1</v>
      </c>
      <c r="AX28" s="2"/>
      <c r="AY28" s="2"/>
      <c r="AZ28" s="2">
        <v>1</v>
      </c>
      <c r="BA28" s="2">
        <v>1</v>
      </c>
      <c r="BB28" s="2">
        <v>1</v>
      </c>
      <c r="BC28" s="2">
        <v>1</v>
      </c>
      <c r="BD28" s="2" t="s">
        <v>3</v>
      </c>
      <c r="BE28" s="2" t="s">
        <v>3</v>
      </c>
      <c r="BF28" s="2" t="s">
        <v>3</v>
      </c>
      <c r="BG28" s="2" t="s">
        <v>3</v>
      </c>
      <c r="BH28" s="2">
        <v>0</v>
      </c>
      <c r="BI28" s="2">
        <v>1</v>
      </c>
      <c r="BJ28" s="2" t="s">
        <v>19</v>
      </c>
      <c r="BK28" s="2"/>
      <c r="BL28" s="2"/>
      <c r="BM28" s="2">
        <v>46001</v>
      </c>
      <c r="BN28" s="2">
        <v>0</v>
      </c>
      <c r="BO28" s="2" t="s">
        <v>3</v>
      </c>
      <c r="BP28" s="2">
        <v>0</v>
      </c>
      <c r="BQ28" s="2">
        <v>2</v>
      </c>
      <c r="BR28" s="2">
        <v>0</v>
      </c>
      <c r="BS28" s="2">
        <v>1</v>
      </c>
      <c r="BT28" s="2">
        <v>1</v>
      </c>
      <c r="BU28" s="2">
        <v>1</v>
      </c>
      <c r="BV28" s="2">
        <v>1</v>
      </c>
      <c r="BW28" s="2">
        <v>1</v>
      </c>
      <c r="BX28" s="2">
        <v>1</v>
      </c>
      <c r="BY28" s="2" t="s">
        <v>3</v>
      </c>
      <c r="BZ28" s="2">
        <v>110</v>
      </c>
      <c r="CA28" s="2">
        <v>70</v>
      </c>
      <c r="CB28" s="2"/>
      <c r="CC28" s="2"/>
      <c r="CD28" s="2"/>
      <c r="CE28" s="2">
        <v>0</v>
      </c>
      <c r="CF28" s="2">
        <v>0</v>
      </c>
      <c r="CG28" s="2">
        <v>0</v>
      </c>
      <c r="CH28" s="2"/>
      <c r="CI28" s="2"/>
      <c r="CJ28" s="2"/>
      <c r="CK28" s="2"/>
      <c r="CL28" s="2"/>
      <c r="CM28" s="2">
        <v>0</v>
      </c>
      <c r="CN28" s="2" t="s">
        <v>3</v>
      </c>
      <c r="CO28" s="2">
        <v>0</v>
      </c>
      <c r="CP28" s="2">
        <f t="shared" ref="CP28:CP33" si="34">(P28+Q28+S28)</f>
        <v>4845.0200000000004</v>
      </c>
      <c r="CQ28" s="2">
        <f t="shared" ref="CQ28:CQ33" si="35">AC28*BC28</f>
        <v>0</v>
      </c>
      <c r="CR28" s="2">
        <f t="shared" ref="CR28:CR33" si="36">AD28*BB28</f>
        <v>0</v>
      </c>
      <c r="CS28" s="2">
        <f t="shared" ref="CS28:CS33" si="37">AE28*BS28</f>
        <v>0</v>
      </c>
      <c r="CT28" s="2">
        <f t="shared" ref="CT28:CT33" si="38">AF28*BA28</f>
        <v>230.26</v>
      </c>
      <c r="CU28" s="2">
        <f t="shared" ref="CU28:CX33" si="39">AG28</f>
        <v>0</v>
      </c>
      <c r="CV28" s="2">
        <f t="shared" si="39"/>
        <v>29.52</v>
      </c>
      <c r="CW28" s="2">
        <f t="shared" si="39"/>
        <v>0</v>
      </c>
      <c r="CX28" s="2">
        <f t="shared" si="39"/>
        <v>0</v>
      </c>
      <c r="CY28" s="2">
        <f t="shared" ref="CY28:CY33" si="40">(((S28+R28)*AT28)/100)</f>
        <v>5329.5220000000008</v>
      </c>
      <c r="CZ28" s="2">
        <f t="shared" ref="CZ28:CZ33" si="41">(((S28+R28)*AU28)/100)</f>
        <v>3391.5140000000001</v>
      </c>
      <c r="DA28" s="2"/>
      <c r="DB28" s="2"/>
      <c r="DC28" s="2" t="s">
        <v>3</v>
      </c>
      <c r="DD28" s="2" t="s">
        <v>3</v>
      </c>
      <c r="DE28" s="2" t="s">
        <v>3</v>
      </c>
      <c r="DF28" s="2" t="s">
        <v>3</v>
      </c>
      <c r="DG28" s="2" t="s">
        <v>3</v>
      </c>
      <c r="DH28" s="2" t="s">
        <v>3</v>
      </c>
      <c r="DI28" s="2" t="s">
        <v>3</v>
      </c>
      <c r="DJ28" s="2" t="s">
        <v>3</v>
      </c>
      <c r="DK28" s="2" t="s">
        <v>3</v>
      </c>
      <c r="DL28" s="2" t="s">
        <v>3</v>
      </c>
      <c r="DM28" s="2" t="s">
        <v>3</v>
      </c>
      <c r="DN28" s="2">
        <v>0</v>
      </c>
      <c r="DO28" s="2">
        <v>0</v>
      </c>
      <c r="DP28" s="2">
        <v>1</v>
      </c>
      <c r="DQ28" s="2">
        <v>1</v>
      </c>
      <c r="DR28" s="2"/>
      <c r="DS28" s="2"/>
      <c r="DT28" s="2"/>
      <c r="DU28" s="2">
        <v>1005</v>
      </c>
      <c r="DV28" s="2" t="s">
        <v>18</v>
      </c>
      <c r="DW28" s="2" t="s">
        <v>18</v>
      </c>
      <c r="DX28" s="2">
        <v>100</v>
      </c>
      <c r="DY28" s="2"/>
      <c r="DZ28" s="2"/>
      <c r="EA28" s="2"/>
      <c r="EB28" s="2"/>
      <c r="EC28" s="2"/>
      <c r="ED28" s="2"/>
      <c r="EE28" s="2">
        <v>49155166</v>
      </c>
      <c r="EF28" s="2">
        <v>2</v>
      </c>
      <c r="EG28" s="2" t="s">
        <v>20</v>
      </c>
      <c r="EH28" s="2">
        <v>0</v>
      </c>
      <c r="EI28" s="2" t="s">
        <v>3</v>
      </c>
      <c r="EJ28" s="2">
        <v>1</v>
      </c>
      <c r="EK28" s="2">
        <v>46001</v>
      </c>
      <c r="EL28" s="2" t="s">
        <v>21</v>
      </c>
      <c r="EM28" s="2" t="s">
        <v>22</v>
      </c>
      <c r="EN28" s="2"/>
      <c r="EO28" s="2" t="s">
        <v>3</v>
      </c>
      <c r="EP28" s="2"/>
      <c r="EQ28" s="2">
        <v>132096</v>
      </c>
      <c r="ER28" s="2">
        <v>230.26</v>
      </c>
      <c r="ES28" s="2">
        <v>0</v>
      </c>
      <c r="ET28" s="2">
        <v>0</v>
      </c>
      <c r="EU28" s="2">
        <v>0</v>
      </c>
      <c r="EV28" s="2">
        <v>230.26</v>
      </c>
      <c r="EW28" s="2">
        <v>29.52</v>
      </c>
      <c r="EX28" s="2">
        <v>0</v>
      </c>
      <c r="EY28" s="2">
        <v>0</v>
      </c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>
        <v>0</v>
      </c>
      <c r="FR28" s="2">
        <f t="shared" ref="FR28:FR33" si="42">ROUND(IF(AND(BH28=3,BI28=3),P28,0),2)</f>
        <v>0</v>
      </c>
      <c r="FS28" s="2">
        <v>0</v>
      </c>
      <c r="FT28" s="2"/>
      <c r="FU28" s="2"/>
      <c r="FV28" s="2"/>
      <c r="FW28" s="2"/>
      <c r="FX28" s="2">
        <v>110</v>
      </c>
      <c r="FY28" s="2">
        <v>70</v>
      </c>
      <c r="FZ28" s="2"/>
      <c r="GA28" s="2" t="s">
        <v>3</v>
      </c>
      <c r="GB28" s="2"/>
      <c r="GC28" s="2"/>
      <c r="GD28" s="2">
        <v>1</v>
      </c>
      <c r="GE28" s="2"/>
      <c r="GF28" s="2">
        <v>2139255638</v>
      </c>
      <c r="GG28" s="2">
        <v>2</v>
      </c>
      <c r="GH28" s="2">
        <v>1</v>
      </c>
      <c r="GI28" s="2">
        <v>-2</v>
      </c>
      <c r="GJ28" s="2">
        <v>0</v>
      </c>
      <c r="GK28" s="2">
        <v>0</v>
      </c>
      <c r="GL28" s="2">
        <f t="shared" ref="GL28:GL33" si="43">ROUND(IF(AND(BH28=3,BI28=3,FS28&lt;&gt;0),P28,0),2)</f>
        <v>0</v>
      </c>
      <c r="GM28" s="2">
        <f t="shared" ref="GM28:GM33" si="44">ROUND(O28+X28+Y28,2)+GX28</f>
        <v>13566.05</v>
      </c>
      <c r="GN28" s="2">
        <f t="shared" ref="GN28:GN33" si="45">IF(OR(BI28=0,BI28=1),ROUND(O28+X28+Y28,2),0)</f>
        <v>13566.05</v>
      </c>
      <c r="GO28" s="2">
        <f t="shared" ref="GO28:GO33" si="46">IF(BI28=2,ROUND(O28+X28+Y28,2),0)</f>
        <v>0</v>
      </c>
      <c r="GP28" s="2">
        <f t="shared" ref="GP28:GP33" si="47">IF(BI28=4,ROUND(O28+X28+Y28,2)+GX28,0)</f>
        <v>0</v>
      </c>
      <c r="GQ28" s="2"/>
      <c r="GR28" s="2">
        <v>0</v>
      </c>
      <c r="GS28" s="2">
        <v>3</v>
      </c>
      <c r="GT28" s="2">
        <v>0</v>
      </c>
      <c r="GU28" s="2" t="s">
        <v>3</v>
      </c>
      <c r="GV28" s="2">
        <f>ROUND((GT28),6)</f>
        <v>0</v>
      </c>
      <c r="GW28" s="2">
        <v>1</v>
      </c>
      <c r="GX28" s="2">
        <f t="shared" ref="GX28:GX33" si="48">ROUND(HC28*I28,2)</f>
        <v>0</v>
      </c>
      <c r="GY28" s="2"/>
      <c r="GZ28" s="2"/>
      <c r="HA28" s="2">
        <v>0</v>
      </c>
      <c r="HB28" s="2">
        <v>0</v>
      </c>
      <c r="HC28" s="2">
        <f t="shared" ref="HC28:HC33" si="49">GV28*GW28</f>
        <v>0</v>
      </c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>
        <v>0</v>
      </c>
      <c r="IL28" s="2"/>
      <c r="IM28" s="2"/>
      <c r="IN28" s="2"/>
      <c r="IO28" s="2"/>
      <c r="IP28" s="2"/>
      <c r="IQ28" s="2"/>
      <c r="IR28" s="2"/>
      <c r="IS28" s="2"/>
      <c r="IT28" s="2"/>
      <c r="IU28" s="2"/>
    </row>
    <row r="29" spans="1:255" x14ac:dyDescent="0.2">
      <c r="A29" s="66">
        <v>17</v>
      </c>
      <c r="B29">
        <v>1</v>
      </c>
      <c r="C29">
        <f>ROW(SmtRes!A2)</f>
        <v>2</v>
      </c>
      <c r="D29">
        <f>ROW(EtalonRes!A2)</f>
        <v>2</v>
      </c>
      <c r="E29" s="66" t="s">
        <v>3</v>
      </c>
      <c r="F29" t="s">
        <v>16</v>
      </c>
      <c r="G29" t="s">
        <v>17</v>
      </c>
      <c r="H29" t="s">
        <v>18</v>
      </c>
      <c r="I29">
        <f>ROUND(2104.15/100,9)</f>
        <v>21.041499999999999</v>
      </c>
      <c r="J29">
        <v>0</v>
      </c>
      <c r="O29">
        <f t="shared" si="21"/>
        <v>146513.28</v>
      </c>
      <c r="P29">
        <f t="shared" si="22"/>
        <v>0</v>
      </c>
      <c r="Q29">
        <f t="shared" si="23"/>
        <v>0</v>
      </c>
      <c r="R29">
        <f t="shared" si="24"/>
        <v>0</v>
      </c>
      <c r="S29">
        <f t="shared" si="25"/>
        <v>146513.28</v>
      </c>
      <c r="T29">
        <f t="shared" si="26"/>
        <v>0</v>
      </c>
      <c r="U29">
        <f t="shared" si="27"/>
        <v>621.14508000000001</v>
      </c>
      <c r="V29">
        <f t="shared" si="28"/>
        <v>0</v>
      </c>
      <c r="W29">
        <f t="shared" si="29"/>
        <v>0</v>
      </c>
      <c r="X29">
        <f t="shared" si="30"/>
        <v>161164.60999999999</v>
      </c>
      <c r="Y29">
        <f t="shared" si="30"/>
        <v>102559.3</v>
      </c>
      <c r="AA29">
        <v>-1</v>
      </c>
      <c r="AB29">
        <f t="shared" si="31"/>
        <v>230.26</v>
      </c>
      <c r="AC29">
        <f>ROUND((ES29),6)</f>
        <v>0</v>
      </c>
      <c r="AD29">
        <f>ROUND((((ET29)-(EU29))+AE29),6)</f>
        <v>0</v>
      </c>
      <c r="AE29">
        <f>ROUND((EU29),6)</f>
        <v>0</v>
      </c>
      <c r="AF29">
        <f>ROUND((EV29),6)</f>
        <v>230.26</v>
      </c>
      <c r="AG29">
        <f t="shared" si="32"/>
        <v>0</v>
      </c>
      <c r="AH29">
        <f>(EW29)</f>
        <v>29.52</v>
      </c>
      <c r="AI29">
        <f>(EX29)</f>
        <v>0</v>
      </c>
      <c r="AJ29">
        <f t="shared" si="33"/>
        <v>0</v>
      </c>
      <c r="AK29">
        <v>230.26</v>
      </c>
      <c r="AL29">
        <v>0</v>
      </c>
      <c r="AM29">
        <v>0</v>
      </c>
      <c r="AN29">
        <v>0</v>
      </c>
      <c r="AO29">
        <v>230.26</v>
      </c>
      <c r="AP29">
        <v>0</v>
      </c>
      <c r="AQ29">
        <v>29.52</v>
      </c>
      <c r="AR29">
        <v>0</v>
      </c>
      <c r="AS29">
        <v>0</v>
      </c>
      <c r="AT29">
        <v>110</v>
      </c>
      <c r="AU29">
        <v>70</v>
      </c>
      <c r="AV29">
        <v>1</v>
      </c>
      <c r="AW29">
        <v>1</v>
      </c>
      <c r="AZ29">
        <v>1</v>
      </c>
      <c r="BA29">
        <v>30.24</v>
      </c>
      <c r="BB29">
        <v>1</v>
      </c>
      <c r="BC29">
        <v>1</v>
      </c>
      <c r="BD29" t="s">
        <v>3</v>
      </c>
      <c r="BE29" t="s">
        <v>3</v>
      </c>
      <c r="BF29" t="s">
        <v>3</v>
      </c>
      <c r="BG29" t="s">
        <v>3</v>
      </c>
      <c r="BH29">
        <v>0</v>
      </c>
      <c r="BI29">
        <v>1</v>
      </c>
      <c r="BJ29" t="s">
        <v>19</v>
      </c>
      <c r="BM29">
        <v>46001</v>
      </c>
      <c r="BN29">
        <v>0</v>
      </c>
      <c r="BO29" t="s">
        <v>16</v>
      </c>
      <c r="BP29">
        <v>1</v>
      </c>
      <c r="BQ29">
        <v>2</v>
      </c>
      <c r="BR29">
        <v>0</v>
      </c>
      <c r="BS29">
        <v>30.24</v>
      </c>
      <c r="BT29">
        <v>1</v>
      </c>
      <c r="BU29">
        <v>1</v>
      </c>
      <c r="BV29">
        <v>1</v>
      </c>
      <c r="BW29">
        <v>1</v>
      </c>
      <c r="BX29">
        <v>1</v>
      </c>
      <c r="BY29" t="s">
        <v>3</v>
      </c>
      <c r="BZ29">
        <v>110</v>
      </c>
      <c r="CA29">
        <v>70</v>
      </c>
      <c r="CE29">
        <v>0</v>
      </c>
      <c r="CF29">
        <v>0</v>
      </c>
      <c r="CG29">
        <v>0</v>
      </c>
      <c r="CM29">
        <v>0</v>
      </c>
      <c r="CN29" t="s">
        <v>3</v>
      </c>
      <c r="CO29">
        <v>0</v>
      </c>
      <c r="CP29">
        <f t="shared" si="34"/>
        <v>146513.28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6963.0623999999998</v>
      </c>
      <c r="CU29">
        <f t="shared" si="39"/>
        <v>0</v>
      </c>
      <c r="CV29">
        <f t="shared" si="39"/>
        <v>29.52</v>
      </c>
      <c r="CW29">
        <f t="shared" si="39"/>
        <v>0</v>
      </c>
      <c r="CX29">
        <f t="shared" si="39"/>
        <v>0</v>
      </c>
      <c r="CY29">
        <f t="shared" si="40"/>
        <v>161164.60800000001</v>
      </c>
      <c r="CZ29">
        <f t="shared" si="41"/>
        <v>102559.296</v>
      </c>
      <c r="DC29" t="s">
        <v>3</v>
      </c>
      <c r="DD29" t="s">
        <v>3</v>
      </c>
      <c r="DE29" t="s">
        <v>3</v>
      </c>
      <c r="DF29" t="s">
        <v>3</v>
      </c>
      <c r="DG29" t="s">
        <v>3</v>
      </c>
      <c r="DH29" t="s">
        <v>3</v>
      </c>
      <c r="DI29" t="s">
        <v>3</v>
      </c>
      <c r="DJ29" t="s">
        <v>3</v>
      </c>
      <c r="DK29" t="s">
        <v>3</v>
      </c>
      <c r="DL29" t="s">
        <v>3</v>
      </c>
      <c r="DM29" t="s">
        <v>3</v>
      </c>
      <c r="DN29">
        <v>0</v>
      </c>
      <c r="DO29">
        <v>0</v>
      </c>
      <c r="DP29">
        <v>1</v>
      </c>
      <c r="DQ29">
        <v>1</v>
      </c>
      <c r="DU29">
        <v>1005</v>
      </c>
      <c r="DV29" t="s">
        <v>18</v>
      </c>
      <c r="DW29" t="s">
        <v>18</v>
      </c>
      <c r="DX29">
        <v>100</v>
      </c>
      <c r="EE29">
        <v>49155166</v>
      </c>
      <c r="EF29">
        <v>2</v>
      </c>
      <c r="EG29" t="s">
        <v>20</v>
      </c>
      <c r="EH29">
        <v>0</v>
      </c>
      <c r="EI29" t="s">
        <v>3</v>
      </c>
      <c r="EJ29">
        <v>1</v>
      </c>
      <c r="EK29">
        <v>46001</v>
      </c>
      <c r="EL29" t="s">
        <v>21</v>
      </c>
      <c r="EM29" t="s">
        <v>22</v>
      </c>
      <c r="EO29" t="s">
        <v>3</v>
      </c>
      <c r="EQ29">
        <v>132096</v>
      </c>
      <c r="ER29">
        <v>230.26</v>
      </c>
      <c r="ES29">
        <v>0</v>
      </c>
      <c r="ET29">
        <v>0</v>
      </c>
      <c r="EU29">
        <v>0</v>
      </c>
      <c r="EV29">
        <v>230.26</v>
      </c>
      <c r="EW29">
        <v>29.52</v>
      </c>
      <c r="EX29">
        <v>0</v>
      </c>
      <c r="EY29">
        <v>0</v>
      </c>
      <c r="FQ29">
        <v>0</v>
      </c>
      <c r="FR29">
        <f t="shared" si="42"/>
        <v>0</v>
      </c>
      <c r="FS29">
        <v>0</v>
      </c>
      <c r="FX29">
        <v>110</v>
      </c>
      <c r="FY29">
        <v>70</v>
      </c>
      <c r="GA29" t="s">
        <v>3</v>
      </c>
      <c r="GD29">
        <v>1</v>
      </c>
      <c r="GF29">
        <v>2139255638</v>
      </c>
      <c r="GG29">
        <v>2</v>
      </c>
      <c r="GH29">
        <v>1</v>
      </c>
      <c r="GI29">
        <v>2</v>
      </c>
      <c r="GJ29">
        <v>0</v>
      </c>
      <c r="GK29">
        <v>0</v>
      </c>
      <c r="GL29">
        <f t="shared" si="43"/>
        <v>0</v>
      </c>
      <c r="GM29">
        <f t="shared" si="44"/>
        <v>410237.19</v>
      </c>
      <c r="GN29">
        <f t="shared" si="45"/>
        <v>410237.19</v>
      </c>
      <c r="GO29">
        <f t="shared" si="46"/>
        <v>0</v>
      </c>
      <c r="GP29">
        <f t="shared" si="47"/>
        <v>0</v>
      </c>
      <c r="GR29">
        <v>0</v>
      </c>
      <c r="GS29">
        <v>3</v>
      </c>
      <c r="GT29">
        <v>0</v>
      </c>
      <c r="GU29" t="s">
        <v>3</v>
      </c>
      <c r="GV29">
        <f>ROUND((GT29),6)</f>
        <v>0</v>
      </c>
      <c r="GW29">
        <v>1</v>
      </c>
      <c r="GX29">
        <f t="shared" si="48"/>
        <v>0</v>
      </c>
      <c r="HA29">
        <v>0</v>
      </c>
      <c r="HB29">
        <v>0</v>
      </c>
      <c r="HC29">
        <f t="shared" si="49"/>
        <v>0</v>
      </c>
      <c r="IK29">
        <v>0</v>
      </c>
    </row>
    <row r="30" spans="1:255" x14ac:dyDescent="0.2">
      <c r="A30" s="69">
        <v>17</v>
      </c>
      <c r="B30" s="2">
        <v>1</v>
      </c>
      <c r="C30" s="2">
        <f>ROW(SmtRes!A3)</f>
        <v>3</v>
      </c>
      <c r="D30" s="2">
        <f>ROW(EtalonRes!A3)</f>
        <v>3</v>
      </c>
      <c r="E30" s="69" t="s">
        <v>23</v>
      </c>
      <c r="F30" s="2" t="s">
        <v>24</v>
      </c>
      <c r="G30" s="2" t="s">
        <v>25</v>
      </c>
      <c r="H30" s="2" t="s">
        <v>18</v>
      </c>
      <c r="I30" s="2">
        <f>ROUND(2104.15/100,9)</f>
        <v>21.041499999999999</v>
      </c>
      <c r="J30" s="2">
        <v>0</v>
      </c>
      <c r="K30" s="2"/>
      <c r="L30" s="2"/>
      <c r="M30" s="2"/>
      <c r="N30" s="2"/>
      <c r="O30" s="2">
        <f t="shared" si="21"/>
        <v>8502.0300000000007</v>
      </c>
      <c r="P30" s="2">
        <f t="shared" si="22"/>
        <v>0</v>
      </c>
      <c r="Q30" s="2">
        <f t="shared" si="23"/>
        <v>0</v>
      </c>
      <c r="R30" s="2">
        <f t="shared" si="24"/>
        <v>0</v>
      </c>
      <c r="S30" s="2">
        <f t="shared" si="25"/>
        <v>8502.0300000000007</v>
      </c>
      <c r="T30" s="2">
        <f t="shared" si="26"/>
        <v>0</v>
      </c>
      <c r="U30" s="2">
        <f t="shared" si="27"/>
        <v>1089.9791580999999</v>
      </c>
      <c r="V30" s="2">
        <f t="shared" si="28"/>
        <v>0</v>
      </c>
      <c r="W30" s="2">
        <f t="shared" si="29"/>
        <v>0</v>
      </c>
      <c r="X30" s="2">
        <f t="shared" si="30"/>
        <v>9352.23</v>
      </c>
      <c r="Y30" s="2">
        <f t="shared" si="30"/>
        <v>5951.42</v>
      </c>
      <c r="Z30" s="2"/>
      <c r="AA30" s="2">
        <v>49290729</v>
      </c>
      <c r="AB30" s="2">
        <f t="shared" si="31"/>
        <v>404.06</v>
      </c>
      <c r="AC30" s="2">
        <f>ROUND(((ES30*2.27)),6)</f>
        <v>0</v>
      </c>
      <c r="AD30" s="2">
        <f>ROUND(((((ET30*2.27))-((EU30*2.27)))+AE30),6)</f>
        <v>0</v>
      </c>
      <c r="AE30" s="2">
        <f>ROUND(((EU30*2.27)),6)</f>
        <v>0</v>
      </c>
      <c r="AF30" s="2">
        <f>ROUND(((EV30*2.27)),6)</f>
        <v>404.06</v>
      </c>
      <c r="AG30" s="2">
        <f t="shared" si="32"/>
        <v>0</v>
      </c>
      <c r="AH30" s="2">
        <f>((EW30*2.27))</f>
        <v>51.801400000000001</v>
      </c>
      <c r="AI30" s="2">
        <f>((EX30*2.27))</f>
        <v>0</v>
      </c>
      <c r="AJ30" s="2">
        <f t="shared" si="33"/>
        <v>0</v>
      </c>
      <c r="AK30" s="2">
        <v>178</v>
      </c>
      <c r="AL30" s="2">
        <v>0</v>
      </c>
      <c r="AM30" s="2">
        <v>0</v>
      </c>
      <c r="AN30" s="2">
        <v>0</v>
      </c>
      <c r="AO30" s="2">
        <v>178</v>
      </c>
      <c r="AP30" s="2">
        <v>0</v>
      </c>
      <c r="AQ30" s="2">
        <v>22.82</v>
      </c>
      <c r="AR30" s="2">
        <v>0</v>
      </c>
      <c r="AS30" s="2">
        <v>0</v>
      </c>
      <c r="AT30" s="2">
        <v>110</v>
      </c>
      <c r="AU30" s="2">
        <v>70</v>
      </c>
      <c r="AV30" s="2">
        <v>1</v>
      </c>
      <c r="AW30" s="2">
        <v>1</v>
      </c>
      <c r="AX30" s="2"/>
      <c r="AY30" s="2"/>
      <c r="AZ30" s="2">
        <v>1</v>
      </c>
      <c r="BA30" s="2">
        <v>1</v>
      </c>
      <c r="BB30" s="2">
        <v>1</v>
      </c>
      <c r="BC30" s="2">
        <v>1</v>
      </c>
      <c r="BD30" s="2" t="s">
        <v>3</v>
      </c>
      <c r="BE30" s="2" t="s">
        <v>3</v>
      </c>
      <c r="BF30" s="2" t="s">
        <v>3</v>
      </c>
      <c r="BG30" s="2" t="s">
        <v>3</v>
      </c>
      <c r="BH30" s="2">
        <v>0</v>
      </c>
      <c r="BI30" s="2">
        <v>1</v>
      </c>
      <c r="BJ30" s="2" t="s">
        <v>26</v>
      </c>
      <c r="BK30" s="2"/>
      <c r="BL30" s="2"/>
      <c r="BM30" s="2">
        <v>46001</v>
      </c>
      <c r="BN30" s="2">
        <v>0</v>
      </c>
      <c r="BO30" s="2" t="s">
        <v>3</v>
      </c>
      <c r="BP30" s="2">
        <v>0</v>
      </c>
      <c r="BQ30" s="2">
        <v>2</v>
      </c>
      <c r="BR30" s="2">
        <v>0</v>
      </c>
      <c r="BS30" s="2">
        <v>1</v>
      </c>
      <c r="BT30" s="2">
        <v>1</v>
      </c>
      <c r="BU30" s="2">
        <v>1</v>
      </c>
      <c r="BV30" s="2">
        <v>1</v>
      </c>
      <c r="BW30" s="2">
        <v>1</v>
      </c>
      <c r="BX30" s="2">
        <v>1</v>
      </c>
      <c r="BY30" s="2" t="s">
        <v>3</v>
      </c>
      <c r="BZ30" s="2">
        <v>110</v>
      </c>
      <c r="CA30" s="2">
        <v>70</v>
      </c>
      <c r="CB30" s="2"/>
      <c r="CC30" s="2"/>
      <c r="CD30" s="2"/>
      <c r="CE30" s="2">
        <v>0</v>
      </c>
      <c r="CF30" s="2">
        <v>0</v>
      </c>
      <c r="CG30" s="2">
        <v>0</v>
      </c>
      <c r="CH30" s="2"/>
      <c r="CI30" s="2"/>
      <c r="CJ30" s="2"/>
      <c r="CK30" s="2"/>
      <c r="CL30" s="2"/>
      <c r="CM30" s="2">
        <v>0</v>
      </c>
      <c r="CN30" s="2" t="s">
        <v>3</v>
      </c>
      <c r="CO30" s="2">
        <v>0</v>
      </c>
      <c r="CP30" s="2">
        <f t="shared" si="34"/>
        <v>8502.0300000000007</v>
      </c>
      <c r="CQ30" s="2">
        <f t="shared" si="35"/>
        <v>0</v>
      </c>
      <c r="CR30" s="2">
        <f t="shared" si="36"/>
        <v>0</v>
      </c>
      <c r="CS30" s="2">
        <f t="shared" si="37"/>
        <v>0</v>
      </c>
      <c r="CT30" s="2">
        <f t="shared" si="38"/>
        <v>404.06</v>
      </c>
      <c r="CU30" s="2">
        <f t="shared" si="39"/>
        <v>0</v>
      </c>
      <c r="CV30" s="2">
        <f t="shared" si="39"/>
        <v>51.801400000000001</v>
      </c>
      <c r="CW30" s="2">
        <f t="shared" si="39"/>
        <v>0</v>
      </c>
      <c r="CX30" s="2">
        <f t="shared" si="39"/>
        <v>0</v>
      </c>
      <c r="CY30" s="2">
        <f t="shared" si="40"/>
        <v>9352.2330000000002</v>
      </c>
      <c r="CZ30" s="2">
        <f t="shared" si="41"/>
        <v>5951.4210000000012</v>
      </c>
      <c r="DA30" s="2"/>
      <c r="DB30" s="2"/>
      <c r="DC30" s="2" t="s">
        <v>3</v>
      </c>
      <c r="DD30" s="2" t="s">
        <v>27</v>
      </c>
      <c r="DE30" s="2" t="s">
        <v>27</v>
      </c>
      <c r="DF30" s="2" t="s">
        <v>27</v>
      </c>
      <c r="DG30" s="2" t="s">
        <v>27</v>
      </c>
      <c r="DH30" s="2" t="s">
        <v>3</v>
      </c>
      <c r="DI30" s="2" t="s">
        <v>27</v>
      </c>
      <c r="DJ30" s="2" t="s">
        <v>27</v>
      </c>
      <c r="DK30" s="2" t="s">
        <v>3</v>
      </c>
      <c r="DL30" s="2" t="s">
        <v>3</v>
      </c>
      <c r="DM30" s="2" t="s">
        <v>3</v>
      </c>
      <c r="DN30" s="2">
        <v>0</v>
      </c>
      <c r="DO30" s="2">
        <v>0</v>
      </c>
      <c r="DP30" s="2">
        <v>1</v>
      </c>
      <c r="DQ30" s="2">
        <v>1</v>
      </c>
      <c r="DR30" s="2"/>
      <c r="DS30" s="2"/>
      <c r="DT30" s="2"/>
      <c r="DU30" s="2">
        <v>1005</v>
      </c>
      <c r="DV30" s="2" t="s">
        <v>18</v>
      </c>
      <c r="DW30" s="2" t="s">
        <v>18</v>
      </c>
      <c r="DX30" s="2">
        <v>100</v>
      </c>
      <c r="DY30" s="2"/>
      <c r="DZ30" s="2"/>
      <c r="EA30" s="2"/>
      <c r="EB30" s="2"/>
      <c r="EC30" s="2"/>
      <c r="ED30" s="2"/>
      <c r="EE30" s="2">
        <v>49155166</v>
      </c>
      <c r="EF30" s="2">
        <v>2</v>
      </c>
      <c r="EG30" s="2" t="s">
        <v>20</v>
      </c>
      <c r="EH30" s="2">
        <v>0</v>
      </c>
      <c r="EI30" s="2" t="s">
        <v>3</v>
      </c>
      <c r="EJ30" s="2">
        <v>1</v>
      </c>
      <c r="EK30" s="2">
        <v>46001</v>
      </c>
      <c r="EL30" s="2" t="s">
        <v>21</v>
      </c>
      <c r="EM30" s="2" t="s">
        <v>22</v>
      </c>
      <c r="EN30" s="2"/>
      <c r="EO30" s="2" t="s">
        <v>3</v>
      </c>
      <c r="EP30" s="2"/>
      <c r="EQ30" s="2">
        <v>0</v>
      </c>
      <c r="ER30" s="2">
        <v>178</v>
      </c>
      <c r="ES30" s="2">
        <v>0</v>
      </c>
      <c r="ET30" s="2">
        <v>0</v>
      </c>
      <c r="EU30" s="2">
        <v>0</v>
      </c>
      <c r="EV30" s="2">
        <v>178</v>
      </c>
      <c r="EW30" s="2">
        <v>22.82</v>
      </c>
      <c r="EX30" s="2">
        <v>0</v>
      </c>
      <c r="EY30" s="2">
        <v>0</v>
      </c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>
        <v>0</v>
      </c>
      <c r="FR30" s="2">
        <f t="shared" si="42"/>
        <v>0</v>
      </c>
      <c r="FS30" s="2">
        <v>0</v>
      </c>
      <c r="FT30" s="2"/>
      <c r="FU30" s="2"/>
      <c r="FV30" s="2"/>
      <c r="FW30" s="2"/>
      <c r="FX30" s="2">
        <v>110</v>
      </c>
      <c r="FY30" s="2">
        <v>70</v>
      </c>
      <c r="FZ30" s="2"/>
      <c r="GA30" s="2" t="s">
        <v>3</v>
      </c>
      <c r="GB30" s="2"/>
      <c r="GC30" s="2"/>
      <c r="GD30" s="2">
        <v>1</v>
      </c>
      <c r="GE30" s="2"/>
      <c r="GF30" s="2">
        <v>-1418496943</v>
      </c>
      <c r="GG30" s="2">
        <v>2</v>
      </c>
      <c r="GH30" s="2">
        <v>1</v>
      </c>
      <c r="GI30" s="2">
        <v>-2</v>
      </c>
      <c r="GJ30" s="2">
        <v>0</v>
      </c>
      <c r="GK30" s="2">
        <v>0</v>
      </c>
      <c r="GL30" s="2">
        <f t="shared" si="43"/>
        <v>0</v>
      </c>
      <c r="GM30" s="2">
        <f t="shared" si="44"/>
        <v>23805.68</v>
      </c>
      <c r="GN30" s="2">
        <f t="shared" si="45"/>
        <v>23805.68</v>
      </c>
      <c r="GO30" s="2">
        <f t="shared" si="46"/>
        <v>0</v>
      </c>
      <c r="GP30" s="2">
        <f t="shared" si="47"/>
        <v>0</v>
      </c>
      <c r="GQ30" s="2"/>
      <c r="GR30" s="2">
        <v>0</v>
      </c>
      <c r="GS30" s="2">
        <v>3</v>
      </c>
      <c r="GT30" s="2">
        <v>0</v>
      </c>
      <c r="GU30" s="2" t="s">
        <v>27</v>
      </c>
      <c r="GV30" s="2">
        <f>ROUND(((GT30*2.27)),6)</f>
        <v>0</v>
      </c>
      <c r="GW30" s="2">
        <v>1</v>
      </c>
      <c r="GX30" s="2">
        <f t="shared" si="48"/>
        <v>0</v>
      </c>
      <c r="GY30" s="2"/>
      <c r="GZ30" s="2"/>
      <c r="HA30" s="2">
        <v>0</v>
      </c>
      <c r="HB30" s="2">
        <v>0</v>
      </c>
      <c r="HC30" s="2">
        <f t="shared" si="49"/>
        <v>0</v>
      </c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>
        <v>0</v>
      </c>
      <c r="IL30" s="2"/>
      <c r="IM30" s="2"/>
      <c r="IN30" s="2"/>
      <c r="IO30" s="2"/>
      <c r="IP30" s="2"/>
      <c r="IQ30" s="2"/>
      <c r="IR30" s="2"/>
      <c r="IS30" s="2"/>
      <c r="IT30" s="2"/>
      <c r="IU30" s="2"/>
    </row>
    <row r="31" spans="1:255" x14ac:dyDescent="0.2">
      <c r="A31" s="66">
        <v>17</v>
      </c>
      <c r="B31">
        <v>1</v>
      </c>
      <c r="C31">
        <f>ROW(SmtRes!A4)</f>
        <v>4</v>
      </c>
      <c r="D31">
        <f>ROW(EtalonRes!A4)</f>
        <v>4</v>
      </c>
      <c r="E31" s="66" t="s">
        <v>23</v>
      </c>
      <c r="F31" t="s">
        <v>24</v>
      </c>
      <c r="G31" t="s">
        <v>25</v>
      </c>
      <c r="H31" t="s">
        <v>18</v>
      </c>
      <c r="I31">
        <f>ROUND(2104.15/100,9)</f>
        <v>21.041499999999999</v>
      </c>
      <c r="J31">
        <v>0</v>
      </c>
      <c r="O31">
        <f t="shared" si="21"/>
        <v>257101.34</v>
      </c>
      <c r="P31">
        <f t="shared" si="22"/>
        <v>0</v>
      </c>
      <c r="Q31">
        <f t="shared" si="23"/>
        <v>0</v>
      </c>
      <c r="R31">
        <f t="shared" si="24"/>
        <v>0</v>
      </c>
      <c r="S31">
        <f t="shared" si="25"/>
        <v>257101.34</v>
      </c>
      <c r="T31">
        <f t="shared" si="26"/>
        <v>0</v>
      </c>
      <c r="U31">
        <f t="shared" si="27"/>
        <v>1089.9791580999999</v>
      </c>
      <c r="V31">
        <f t="shared" si="28"/>
        <v>0</v>
      </c>
      <c r="W31">
        <f t="shared" si="29"/>
        <v>0</v>
      </c>
      <c r="X31">
        <f t="shared" si="30"/>
        <v>282811.46999999997</v>
      </c>
      <c r="Y31">
        <f t="shared" si="30"/>
        <v>179970.94</v>
      </c>
      <c r="AA31">
        <v>49290730</v>
      </c>
      <c r="AB31">
        <f t="shared" si="31"/>
        <v>404.06</v>
      </c>
      <c r="AC31">
        <f>ROUND(((ES31*2.27)),6)</f>
        <v>0</v>
      </c>
      <c r="AD31">
        <f>ROUND(((((ET31*2.27))-((EU31*2.27)))+AE31),6)</f>
        <v>0</v>
      </c>
      <c r="AE31">
        <f>ROUND(((EU31*2.27)),6)</f>
        <v>0</v>
      </c>
      <c r="AF31">
        <f>ROUND(((EV31*2.27)),6)</f>
        <v>404.06</v>
      </c>
      <c r="AG31">
        <f t="shared" si="32"/>
        <v>0</v>
      </c>
      <c r="AH31">
        <f>((EW31*2.27))</f>
        <v>51.801400000000001</v>
      </c>
      <c r="AI31">
        <f>((EX31*2.27))</f>
        <v>0</v>
      </c>
      <c r="AJ31">
        <f t="shared" si="33"/>
        <v>0</v>
      </c>
      <c r="AK31">
        <v>178</v>
      </c>
      <c r="AL31">
        <v>0</v>
      </c>
      <c r="AM31">
        <v>0</v>
      </c>
      <c r="AN31">
        <v>0</v>
      </c>
      <c r="AO31">
        <v>178</v>
      </c>
      <c r="AP31">
        <v>0</v>
      </c>
      <c r="AQ31">
        <v>22.82</v>
      </c>
      <c r="AR31">
        <v>0</v>
      </c>
      <c r="AS31">
        <v>0</v>
      </c>
      <c r="AT31">
        <v>110</v>
      </c>
      <c r="AU31">
        <v>70</v>
      </c>
      <c r="AV31">
        <v>1</v>
      </c>
      <c r="AW31">
        <v>1</v>
      </c>
      <c r="AZ31">
        <v>1</v>
      </c>
      <c r="BA31">
        <v>30.24</v>
      </c>
      <c r="BB31">
        <v>1</v>
      </c>
      <c r="BC31">
        <v>1</v>
      </c>
      <c r="BD31" t="s">
        <v>3</v>
      </c>
      <c r="BE31" t="s">
        <v>3</v>
      </c>
      <c r="BF31" t="s">
        <v>3</v>
      </c>
      <c r="BG31" t="s">
        <v>3</v>
      </c>
      <c r="BH31">
        <v>0</v>
      </c>
      <c r="BI31">
        <v>1</v>
      </c>
      <c r="BJ31" t="s">
        <v>26</v>
      </c>
      <c r="BM31">
        <v>46001</v>
      </c>
      <c r="BN31">
        <v>0</v>
      </c>
      <c r="BO31" t="s">
        <v>24</v>
      </c>
      <c r="BP31">
        <v>1</v>
      </c>
      <c r="BQ31">
        <v>2</v>
      </c>
      <c r="BR31">
        <v>0</v>
      </c>
      <c r="BS31">
        <v>30.24</v>
      </c>
      <c r="BT31">
        <v>1</v>
      </c>
      <c r="BU31">
        <v>1</v>
      </c>
      <c r="BV31">
        <v>1</v>
      </c>
      <c r="BW31">
        <v>1</v>
      </c>
      <c r="BX31">
        <v>1</v>
      </c>
      <c r="BY31" t="s">
        <v>3</v>
      </c>
      <c r="BZ31">
        <v>110</v>
      </c>
      <c r="CA31">
        <v>70</v>
      </c>
      <c r="CE31">
        <v>0</v>
      </c>
      <c r="CF31">
        <v>0</v>
      </c>
      <c r="CG31">
        <v>0</v>
      </c>
      <c r="CM31">
        <v>0</v>
      </c>
      <c r="CN31" t="s">
        <v>3</v>
      </c>
      <c r="CO31">
        <v>0</v>
      </c>
      <c r="CP31">
        <f t="shared" si="34"/>
        <v>257101.34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12218.7744</v>
      </c>
      <c r="CU31">
        <f t="shared" si="39"/>
        <v>0</v>
      </c>
      <c r="CV31">
        <f t="shared" si="39"/>
        <v>51.801400000000001</v>
      </c>
      <c r="CW31">
        <f t="shared" si="39"/>
        <v>0</v>
      </c>
      <c r="CX31">
        <f t="shared" si="39"/>
        <v>0</v>
      </c>
      <c r="CY31">
        <f t="shared" si="40"/>
        <v>282811.47399999999</v>
      </c>
      <c r="CZ31">
        <f t="shared" si="41"/>
        <v>179970.93799999999</v>
      </c>
      <c r="DC31" t="s">
        <v>3</v>
      </c>
      <c r="DD31" t="s">
        <v>27</v>
      </c>
      <c r="DE31" t="s">
        <v>27</v>
      </c>
      <c r="DF31" t="s">
        <v>27</v>
      </c>
      <c r="DG31" t="s">
        <v>27</v>
      </c>
      <c r="DH31" t="s">
        <v>3</v>
      </c>
      <c r="DI31" t="s">
        <v>27</v>
      </c>
      <c r="DJ31" t="s">
        <v>27</v>
      </c>
      <c r="DK31" t="s">
        <v>3</v>
      </c>
      <c r="DL31" t="s">
        <v>3</v>
      </c>
      <c r="DM31" t="s">
        <v>3</v>
      </c>
      <c r="DN31">
        <v>0</v>
      </c>
      <c r="DO31">
        <v>0</v>
      </c>
      <c r="DP31">
        <v>1</v>
      </c>
      <c r="DQ31">
        <v>1</v>
      </c>
      <c r="DU31">
        <v>1005</v>
      </c>
      <c r="DV31" t="s">
        <v>18</v>
      </c>
      <c r="DW31" t="s">
        <v>18</v>
      </c>
      <c r="DX31">
        <v>100</v>
      </c>
      <c r="EE31">
        <v>49155166</v>
      </c>
      <c r="EF31">
        <v>2</v>
      </c>
      <c r="EG31" t="s">
        <v>20</v>
      </c>
      <c r="EH31">
        <v>0</v>
      </c>
      <c r="EI31" t="s">
        <v>3</v>
      </c>
      <c r="EJ31">
        <v>1</v>
      </c>
      <c r="EK31">
        <v>46001</v>
      </c>
      <c r="EL31" t="s">
        <v>21</v>
      </c>
      <c r="EM31" t="s">
        <v>22</v>
      </c>
      <c r="EO31" t="s">
        <v>3</v>
      </c>
      <c r="EQ31">
        <v>0</v>
      </c>
      <c r="ER31">
        <v>178</v>
      </c>
      <c r="ES31">
        <v>0</v>
      </c>
      <c r="ET31">
        <v>0</v>
      </c>
      <c r="EU31">
        <v>0</v>
      </c>
      <c r="EV31">
        <v>178</v>
      </c>
      <c r="EW31">
        <v>22.82</v>
      </c>
      <c r="EX31">
        <v>0</v>
      </c>
      <c r="EY31">
        <v>0</v>
      </c>
      <c r="FQ31">
        <v>0</v>
      </c>
      <c r="FR31">
        <f t="shared" si="42"/>
        <v>0</v>
      </c>
      <c r="FS31">
        <v>0</v>
      </c>
      <c r="FX31">
        <v>110</v>
      </c>
      <c r="FY31">
        <v>70</v>
      </c>
      <c r="GA31" t="s">
        <v>3</v>
      </c>
      <c r="GD31">
        <v>1</v>
      </c>
      <c r="GF31">
        <v>-1418496943</v>
      </c>
      <c r="GG31">
        <v>2</v>
      </c>
      <c r="GH31">
        <v>1</v>
      </c>
      <c r="GI31">
        <v>2</v>
      </c>
      <c r="GJ31">
        <v>0</v>
      </c>
      <c r="GK31">
        <v>0</v>
      </c>
      <c r="GL31">
        <f t="shared" si="43"/>
        <v>0</v>
      </c>
      <c r="GM31">
        <f t="shared" si="44"/>
        <v>719883.75</v>
      </c>
      <c r="GN31">
        <f t="shared" si="45"/>
        <v>719883.75</v>
      </c>
      <c r="GO31">
        <f t="shared" si="46"/>
        <v>0</v>
      </c>
      <c r="GP31">
        <f t="shared" si="47"/>
        <v>0</v>
      </c>
      <c r="GR31">
        <v>0</v>
      </c>
      <c r="GS31">
        <v>3</v>
      </c>
      <c r="GT31">
        <v>0</v>
      </c>
      <c r="GU31" t="s">
        <v>27</v>
      </c>
      <c r="GV31">
        <f>ROUND(((GT31*2.27)),6)</f>
        <v>0</v>
      </c>
      <c r="GW31">
        <v>1</v>
      </c>
      <c r="GX31">
        <f t="shared" si="48"/>
        <v>0</v>
      </c>
      <c r="HA31">
        <v>0</v>
      </c>
      <c r="HB31">
        <v>0</v>
      </c>
      <c r="HC31">
        <f t="shared" si="49"/>
        <v>0</v>
      </c>
      <c r="IK31">
        <v>0</v>
      </c>
    </row>
    <row r="32" spans="1:255" x14ac:dyDescent="0.2">
      <c r="A32" s="69">
        <v>17</v>
      </c>
      <c r="B32" s="2">
        <v>1</v>
      </c>
      <c r="C32" s="2">
        <f>ROW(SmtRes!A10)</f>
        <v>10</v>
      </c>
      <c r="D32" s="2">
        <f>ROW(EtalonRes!A10)</f>
        <v>10</v>
      </c>
      <c r="E32" s="69" t="s">
        <v>28</v>
      </c>
      <c r="F32" s="2" t="s">
        <v>29</v>
      </c>
      <c r="G32" s="2" t="s">
        <v>30</v>
      </c>
      <c r="H32" s="2" t="s">
        <v>18</v>
      </c>
      <c r="I32" s="2">
        <f>ROUND(I30,9)</f>
        <v>21.041499999999999</v>
      </c>
      <c r="J32" s="2">
        <v>0</v>
      </c>
      <c r="K32" s="2"/>
      <c r="L32" s="2"/>
      <c r="M32" s="2"/>
      <c r="N32" s="2"/>
      <c r="O32" s="2">
        <f t="shared" si="21"/>
        <v>3543.52</v>
      </c>
      <c r="P32" s="2">
        <f t="shared" si="22"/>
        <v>0</v>
      </c>
      <c r="Q32" s="2">
        <f t="shared" si="23"/>
        <v>165.85</v>
      </c>
      <c r="R32" s="2">
        <f t="shared" si="24"/>
        <v>37.71</v>
      </c>
      <c r="S32" s="2">
        <f t="shared" si="25"/>
        <v>3377.67</v>
      </c>
      <c r="T32" s="2">
        <f t="shared" si="26"/>
        <v>0</v>
      </c>
      <c r="U32" s="2">
        <f t="shared" si="27"/>
        <v>367.931669</v>
      </c>
      <c r="V32" s="2">
        <f t="shared" si="28"/>
        <v>3.0931004999999998</v>
      </c>
      <c r="W32" s="2">
        <f t="shared" si="29"/>
        <v>0</v>
      </c>
      <c r="X32" s="2">
        <f t="shared" si="30"/>
        <v>3586.15</v>
      </c>
      <c r="Y32" s="2">
        <f t="shared" si="30"/>
        <v>1878.46</v>
      </c>
      <c r="Z32" s="2"/>
      <c r="AA32" s="2">
        <v>49290729</v>
      </c>
      <c r="AB32" s="2">
        <f t="shared" si="31"/>
        <v>168.40600000000001</v>
      </c>
      <c r="AC32" s="2">
        <f>ROUND(((ES32*0)),6)</f>
        <v>0</v>
      </c>
      <c r="AD32" s="2">
        <f>ROUND(((((ET32*0.7))-((EU32*0.7)))+AE32),6)</f>
        <v>7.8819999999999997</v>
      </c>
      <c r="AE32" s="2">
        <f>ROUND(((EU32*0.7)),6)</f>
        <v>1.792</v>
      </c>
      <c r="AF32" s="2">
        <f>ROUND(((EV32*0.7)),6)</f>
        <v>160.524</v>
      </c>
      <c r="AG32" s="2">
        <f t="shared" si="32"/>
        <v>0</v>
      </c>
      <c r="AH32" s="2">
        <f>((EW32*0.7))</f>
        <v>17.486000000000001</v>
      </c>
      <c r="AI32" s="2">
        <f>((EX32*0.7))</f>
        <v>0.14699999999999999</v>
      </c>
      <c r="AJ32" s="2">
        <f t="shared" si="33"/>
        <v>0</v>
      </c>
      <c r="AK32" s="2">
        <v>1852.9</v>
      </c>
      <c r="AL32" s="2">
        <v>1612.32</v>
      </c>
      <c r="AM32" s="2">
        <v>11.26</v>
      </c>
      <c r="AN32" s="2">
        <v>2.56</v>
      </c>
      <c r="AO32" s="2">
        <v>229.32</v>
      </c>
      <c r="AP32" s="2">
        <v>0</v>
      </c>
      <c r="AQ32" s="2">
        <v>24.98</v>
      </c>
      <c r="AR32" s="2">
        <v>0.21</v>
      </c>
      <c r="AS32" s="2">
        <v>0</v>
      </c>
      <c r="AT32" s="2">
        <v>105</v>
      </c>
      <c r="AU32" s="2">
        <v>55</v>
      </c>
      <c r="AV32" s="2">
        <v>1</v>
      </c>
      <c r="AW32" s="2">
        <v>1</v>
      </c>
      <c r="AX32" s="2"/>
      <c r="AY32" s="2"/>
      <c r="AZ32" s="2">
        <v>1</v>
      </c>
      <c r="BA32" s="2">
        <v>1</v>
      </c>
      <c r="BB32" s="2">
        <v>1</v>
      </c>
      <c r="BC32" s="2">
        <v>1</v>
      </c>
      <c r="BD32" s="2" t="s">
        <v>3</v>
      </c>
      <c r="BE32" s="2" t="s">
        <v>3</v>
      </c>
      <c r="BF32" s="2" t="s">
        <v>3</v>
      </c>
      <c r="BG32" s="2" t="s">
        <v>3</v>
      </c>
      <c r="BH32" s="2">
        <v>0</v>
      </c>
      <c r="BI32" s="2">
        <v>1</v>
      </c>
      <c r="BJ32" s="2" t="s">
        <v>31</v>
      </c>
      <c r="BK32" s="2"/>
      <c r="BL32" s="2"/>
      <c r="BM32" s="2">
        <v>15001</v>
      </c>
      <c r="BN32" s="2">
        <v>0</v>
      </c>
      <c r="BO32" s="2" t="s">
        <v>3</v>
      </c>
      <c r="BP32" s="2">
        <v>0</v>
      </c>
      <c r="BQ32" s="2">
        <v>2</v>
      </c>
      <c r="BR32" s="2">
        <v>0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 t="s">
        <v>3</v>
      </c>
      <c r="BZ32" s="2">
        <v>105</v>
      </c>
      <c r="CA32" s="2">
        <v>55</v>
      </c>
      <c r="CB32" s="2"/>
      <c r="CC32" s="2"/>
      <c r="CD32" s="2"/>
      <c r="CE32" s="2">
        <v>0</v>
      </c>
      <c r="CF32" s="2">
        <v>0</v>
      </c>
      <c r="CG32" s="2">
        <v>0</v>
      </c>
      <c r="CH32" s="2"/>
      <c r="CI32" s="2"/>
      <c r="CJ32" s="2"/>
      <c r="CK32" s="2"/>
      <c r="CL32" s="2"/>
      <c r="CM32" s="2">
        <v>0</v>
      </c>
      <c r="CN32" s="2" t="s">
        <v>32</v>
      </c>
      <c r="CO32" s="2">
        <v>0</v>
      </c>
      <c r="CP32" s="2">
        <f t="shared" si="34"/>
        <v>3543.52</v>
      </c>
      <c r="CQ32" s="2">
        <f t="shared" si="35"/>
        <v>0</v>
      </c>
      <c r="CR32" s="2">
        <f t="shared" si="36"/>
        <v>7.8819999999999997</v>
      </c>
      <c r="CS32" s="2">
        <f t="shared" si="37"/>
        <v>1.792</v>
      </c>
      <c r="CT32" s="2">
        <f t="shared" si="38"/>
        <v>160.524</v>
      </c>
      <c r="CU32" s="2">
        <f t="shared" si="39"/>
        <v>0</v>
      </c>
      <c r="CV32" s="2">
        <f t="shared" si="39"/>
        <v>17.486000000000001</v>
      </c>
      <c r="CW32" s="2">
        <f t="shared" si="39"/>
        <v>0.14699999999999999</v>
      </c>
      <c r="CX32" s="2">
        <f t="shared" si="39"/>
        <v>0</v>
      </c>
      <c r="CY32" s="2">
        <f t="shared" si="40"/>
        <v>3586.1490000000003</v>
      </c>
      <c r="CZ32" s="2">
        <f t="shared" si="41"/>
        <v>1878.4589999999998</v>
      </c>
      <c r="DA32" s="2"/>
      <c r="DB32" s="2"/>
      <c r="DC32" s="2" t="s">
        <v>3</v>
      </c>
      <c r="DD32" s="2" t="s">
        <v>33</v>
      </c>
      <c r="DE32" s="2" t="s">
        <v>34</v>
      </c>
      <c r="DF32" s="2" t="s">
        <v>34</v>
      </c>
      <c r="DG32" s="2" t="s">
        <v>34</v>
      </c>
      <c r="DH32" s="2" t="s">
        <v>3</v>
      </c>
      <c r="DI32" s="2" t="s">
        <v>34</v>
      </c>
      <c r="DJ32" s="2" t="s">
        <v>34</v>
      </c>
      <c r="DK32" s="2" t="s">
        <v>3</v>
      </c>
      <c r="DL32" s="2" t="s">
        <v>3</v>
      </c>
      <c r="DM32" s="2" t="s">
        <v>3</v>
      </c>
      <c r="DN32" s="2">
        <v>0</v>
      </c>
      <c r="DO32" s="2">
        <v>0</v>
      </c>
      <c r="DP32" s="2">
        <v>1</v>
      </c>
      <c r="DQ32" s="2">
        <v>1</v>
      </c>
      <c r="DR32" s="2"/>
      <c r="DS32" s="2"/>
      <c r="DT32" s="2"/>
      <c r="DU32" s="2">
        <v>1005</v>
      </c>
      <c r="DV32" s="2" t="s">
        <v>18</v>
      </c>
      <c r="DW32" s="2" t="s">
        <v>18</v>
      </c>
      <c r="DX32" s="2">
        <v>100</v>
      </c>
      <c r="DY32" s="2"/>
      <c r="DZ32" s="2"/>
      <c r="EA32" s="2"/>
      <c r="EB32" s="2"/>
      <c r="EC32" s="2"/>
      <c r="ED32" s="2"/>
      <c r="EE32" s="2">
        <v>49155124</v>
      </c>
      <c r="EF32" s="2">
        <v>2</v>
      </c>
      <c r="EG32" s="2" t="s">
        <v>20</v>
      </c>
      <c r="EH32" s="2">
        <v>0</v>
      </c>
      <c r="EI32" s="2" t="s">
        <v>3</v>
      </c>
      <c r="EJ32" s="2">
        <v>1</v>
      </c>
      <c r="EK32" s="2">
        <v>15001</v>
      </c>
      <c r="EL32" s="2" t="s">
        <v>35</v>
      </c>
      <c r="EM32" s="2" t="s">
        <v>36</v>
      </c>
      <c r="EN32" s="2"/>
      <c r="EO32" s="2" t="s">
        <v>37</v>
      </c>
      <c r="EP32" s="2"/>
      <c r="EQ32" s="2">
        <v>0</v>
      </c>
      <c r="ER32" s="2">
        <v>1852.9</v>
      </c>
      <c r="ES32" s="2">
        <v>1612.32</v>
      </c>
      <c r="ET32" s="2">
        <v>11.26</v>
      </c>
      <c r="EU32" s="2">
        <v>2.56</v>
      </c>
      <c r="EV32" s="2">
        <v>229.32</v>
      </c>
      <c r="EW32" s="2">
        <v>24.98</v>
      </c>
      <c r="EX32" s="2">
        <v>0.21</v>
      </c>
      <c r="EY32" s="2">
        <v>0</v>
      </c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>
        <v>0</v>
      </c>
      <c r="FR32" s="2">
        <f t="shared" si="42"/>
        <v>0</v>
      </c>
      <c r="FS32" s="2">
        <v>0</v>
      </c>
      <c r="FT32" s="2"/>
      <c r="FU32" s="2"/>
      <c r="FV32" s="2"/>
      <c r="FW32" s="2"/>
      <c r="FX32" s="2">
        <v>105</v>
      </c>
      <c r="FY32" s="2">
        <v>55</v>
      </c>
      <c r="FZ32" s="2"/>
      <c r="GA32" s="2" t="s">
        <v>3</v>
      </c>
      <c r="GB32" s="2"/>
      <c r="GC32" s="2"/>
      <c r="GD32" s="2">
        <v>1</v>
      </c>
      <c r="GE32" s="2"/>
      <c r="GF32" s="2">
        <v>-424834600</v>
      </c>
      <c r="GG32" s="2">
        <v>2</v>
      </c>
      <c r="GH32" s="2">
        <v>1</v>
      </c>
      <c r="GI32" s="2">
        <v>-2</v>
      </c>
      <c r="GJ32" s="2">
        <v>0</v>
      </c>
      <c r="GK32" s="2">
        <v>0</v>
      </c>
      <c r="GL32" s="2">
        <f t="shared" si="43"/>
        <v>0</v>
      </c>
      <c r="GM32" s="2">
        <f t="shared" si="44"/>
        <v>9008.1299999999992</v>
      </c>
      <c r="GN32" s="2">
        <f t="shared" si="45"/>
        <v>9008.1299999999992</v>
      </c>
      <c r="GO32" s="2">
        <f t="shared" si="46"/>
        <v>0</v>
      </c>
      <c r="GP32" s="2">
        <f t="shared" si="47"/>
        <v>0</v>
      </c>
      <c r="GQ32" s="2"/>
      <c r="GR32" s="2">
        <v>0</v>
      </c>
      <c r="GS32" s="2">
        <v>3</v>
      </c>
      <c r="GT32" s="2">
        <v>0</v>
      </c>
      <c r="GU32" s="2" t="s">
        <v>3</v>
      </c>
      <c r="GV32" s="2">
        <f>ROUND((GT32),6)</f>
        <v>0</v>
      </c>
      <c r="GW32" s="2">
        <v>1</v>
      </c>
      <c r="GX32" s="2">
        <f t="shared" si="48"/>
        <v>0</v>
      </c>
      <c r="GY32" s="2"/>
      <c r="GZ32" s="2"/>
      <c r="HA32" s="2">
        <v>0</v>
      </c>
      <c r="HB32" s="2">
        <v>0</v>
      </c>
      <c r="HC32" s="2">
        <f t="shared" si="49"/>
        <v>0</v>
      </c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>
        <v>0</v>
      </c>
      <c r="IL32" s="2"/>
      <c r="IM32" s="2"/>
      <c r="IN32" s="2"/>
      <c r="IO32" s="2"/>
      <c r="IP32" s="2"/>
      <c r="IQ32" s="2"/>
      <c r="IR32" s="2"/>
      <c r="IS32" s="2"/>
      <c r="IT32" s="2"/>
      <c r="IU32" s="2"/>
    </row>
    <row r="33" spans="1:245" x14ac:dyDescent="0.2">
      <c r="A33" s="66">
        <v>17</v>
      </c>
      <c r="B33">
        <v>1</v>
      </c>
      <c r="C33">
        <f>ROW(SmtRes!A16)</f>
        <v>16</v>
      </c>
      <c r="D33">
        <f>ROW(EtalonRes!A16)</f>
        <v>16</v>
      </c>
      <c r="E33" s="66" t="s">
        <v>28</v>
      </c>
      <c r="F33" t="s">
        <v>29</v>
      </c>
      <c r="G33" t="s">
        <v>30</v>
      </c>
      <c r="H33" t="s">
        <v>18</v>
      </c>
      <c r="I33">
        <f>ROUND(I31,9)</f>
        <v>21.041499999999999</v>
      </c>
      <c r="J33">
        <v>0</v>
      </c>
      <c r="O33">
        <f t="shared" si="21"/>
        <v>103697.93</v>
      </c>
      <c r="P33">
        <f t="shared" si="22"/>
        <v>0</v>
      </c>
      <c r="Q33">
        <f t="shared" si="23"/>
        <v>1557.32</v>
      </c>
      <c r="R33">
        <f t="shared" si="24"/>
        <v>1140.24</v>
      </c>
      <c r="S33">
        <f t="shared" si="25"/>
        <v>102140.61</v>
      </c>
      <c r="T33">
        <f t="shared" si="26"/>
        <v>0</v>
      </c>
      <c r="U33">
        <f t="shared" si="27"/>
        <v>367.931669</v>
      </c>
      <c r="V33">
        <f t="shared" si="28"/>
        <v>3.0931004999999998</v>
      </c>
      <c r="W33">
        <f t="shared" si="29"/>
        <v>0</v>
      </c>
      <c r="X33">
        <f t="shared" si="30"/>
        <v>108444.89</v>
      </c>
      <c r="Y33">
        <f t="shared" si="30"/>
        <v>56804.47</v>
      </c>
      <c r="AA33">
        <v>49290730</v>
      </c>
      <c r="AB33">
        <f t="shared" si="31"/>
        <v>168.40600000000001</v>
      </c>
      <c r="AC33">
        <f>ROUND(((ES33*0)),6)</f>
        <v>0</v>
      </c>
      <c r="AD33">
        <f>ROUND(((((ET33*0.7))-((EU33*0.7)))+AE33),6)</f>
        <v>7.8819999999999997</v>
      </c>
      <c r="AE33">
        <f>ROUND(((EU33*0.7)),6)</f>
        <v>1.792</v>
      </c>
      <c r="AF33">
        <f>ROUND(((EV33*0.7)),6)</f>
        <v>160.524</v>
      </c>
      <c r="AG33">
        <f t="shared" si="32"/>
        <v>0</v>
      </c>
      <c r="AH33">
        <f>((EW33*0.7))</f>
        <v>17.486000000000001</v>
      </c>
      <c r="AI33">
        <f>((EX33*0.7))</f>
        <v>0.14699999999999999</v>
      </c>
      <c r="AJ33">
        <f t="shared" si="33"/>
        <v>0</v>
      </c>
      <c r="AK33">
        <v>1852.9</v>
      </c>
      <c r="AL33">
        <v>1612.32</v>
      </c>
      <c r="AM33">
        <v>11.26</v>
      </c>
      <c r="AN33">
        <v>2.56</v>
      </c>
      <c r="AO33">
        <v>229.32</v>
      </c>
      <c r="AP33">
        <v>0</v>
      </c>
      <c r="AQ33">
        <v>24.98</v>
      </c>
      <c r="AR33">
        <v>0.21</v>
      </c>
      <c r="AS33">
        <v>0</v>
      </c>
      <c r="AT33">
        <v>105</v>
      </c>
      <c r="AU33">
        <v>55</v>
      </c>
      <c r="AV33">
        <v>1</v>
      </c>
      <c r="AW33">
        <v>1</v>
      </c>
      <c r="AZ33">
        <v>1</v>
      </c>
      <c r="BA33">
        <v>30.24</v>
      </c>
      <c r="BB33">
        <v>9.39</v>
      </c>
      <c r="BC33">
        <v>8.4</v>
      </c>
      <c r="BD33" t="s">
        <v>3</v>
      </c>
      <c r="BE33" t="s">
        <v>3</v>
      </c>
      <c r="BF33" t="s">
        <v>3</v>
      </c>
      <c r="BG33" t="s">
        <v>3</v>
      </c>
      <c r="BH33">
        <v>0</v>
      </c>
      <c r="BI33">
        <v>1</v>
      </c>
      <c r="BJ33" t="s">
        <v>31</v>
      </c>
      <c r="BM33">
        <v>15001</v>
      </c>
      <c r="BN33">
        <v>0</v>
      </c>
      <c r="BO33" t="s">
        <v>29</v>
      </c>
      <c r="BP33">
        <v>1</v>
      </c>
      <c r="BQ33">
        <v>2</v>
      </c>
      <c r="BR33">
        <v>0</v>
      </c>
      <c r="BS33">
        <v>30.24</v>
      </c>
      <c r="BT33">
        <v>1</v>
      </c>
      <c r="BU33">
        <v>1</v>
      </c>
      <c r="BV33">
        <v>1</v>
      </c>
      <c r="BW33">
        <v>1</v>
      </c>
      <c r="BX33">
        <v>1</v>
      </c>
      <c r="BY33" t="s">
        <v>3</v>
      </c>
      <c r="BZ33">
        <v>105</v>
      </c>
      <c r="CA33">
        <v>55</v>
      </c>
      <c r="CE33">
        <v>0</v>
      </c>
      <c r="CF33">
        <v>0</v>
      </c>
      <c r="CG33">
        <v>0</v>
      </c>
      <c r="CM33">
        <v>0</v>
      </c>
      <c r="CN33" t="s">
        <v>32</v>
      </c>
      <c r="CO33">
        <v>0</v>
      </c>
      <c r="CP33">
        <f t="shared" si="34"/>
        <v>103697.93000000001</v>
      </c>
      <c r="CQ33">
        <f t="shared" si="35"/>
        <v>0</v>
      </c>
      <c r="CR33">
        <f t="shared" si="36"/>
        <v>74.011980000000008</v>
      </c>
      <c r="CS33">
        <f t="shared" si="37"/>
        <v>54.190080000000002</v>
      </c>
      <c r="CT33">
        <f t="shared" si="38"/>
        <v>4854.2457599999998</v>
      </c>
      <c r="CU33">
        <f t="shared" si="39"/>
        <v>0</v>
      </c>
      <c r="CV33">
        <f t="shared" si="39"/>
        <v>17.486000000000001</v>
      </c>
      <c r="CW33">
        <f t="shared" si="39"/>
        <v>0.14699999999999999</v>
      </c>
      <c r="CX33">
        <f t="shared" si="39"/>
        <v>0</v>
      </c>
      <c r="CY33">
        <f t="shared" si="40"/>
        <v>108444.8925</v>
      </c>
      <c r="CZ33">
        <f t="shared" si="41"/>
        <v>56804.467499999999</v>
      </c>
      <c r="DC33" t="s">
        <v>3</v>
      </c>
      <c r="DD33" t="s">
        <v>33</v>
      </c>
      <c r="DE33" t="s">
        <v>34</v>
      </c>
      <c r="DF33" t="s">
        <v>34</v>
      </c>
      <c r="DG33" t="s">
        <v>34</v>
      </c>
      <c r="DH33" t="s">
        <v>3</v>
      </c>
      <c r="DI33" t="s">
        <v>34</v>
      </c>
      <c r="DJ33" t="s">
        <v>34</v>
      </c>
      <c r="DK33" t="s">
        <v>3</v>
      </c>
      <c r="DL33" t="s">
        <v>3</v>
      </c>
      <c r="DM33" t="s">
        <v>3</v>
      </c>
      <c r="DN33">
        <v>0</v>
      </c>
      <c r="DO33">
        <v>0</v>
      </c>
      <c r="DP33">
        <v>1</v>
      </c>
      <c r="DQ33">
        <v>1</v>
      </c>
      <c r="DU33">
        <v>1005</v>
      </c>
      <c r="DV33" t="s">
        <v>18</v>
      </c>
      <c r="DW33" t="s">
        <v>18</v>
      </c>
      <c r="DX33">
        <v>100</v>
      </c>
      <c r="EE33">
        <v>49155124</v>
      </c>
      <c r="EF33">
        <v>2</v>
      </c>
      <c r="EG33" t="s">
        <v>20</v>
      </c>
      <c r="EH33">
        <v>0</v>
      </c>
      <c r="EI33" t="s">
        <v>3</v>
      </c>
      <c r="EJ33">
        <v>1</v>
      </c>
      <c r="EK33">
        <v>15001</v>
      </c>
      <c r="EL33" t="s">
        <v>35</v>
      </c>
      <c r="EM33" t="s">
        <v>36</v>
      </c>
      <c r="EO33" t="s">
        <v>37</v>
      </c>
      <c r="EQ33">
        <v>0</v>
      </c>
      <c r="ER33">
        <v>1852.9</v>
      </c>
      <c r="ES33">
        <v>1612.32</v>
      </c>
      <c r="ET33">
        <v>11.26</v>
      </c>
      <c r="EU33">
        <v>2.56</v>
      </c>
      <c r="EV33">
        <v>229.32</v>
      </c>
      <c r="EW33">
        <v>24.98</v>
      </c>
      <c r="EX33">
        <v>0.21</v>
      </c>
      <c r="EY33">
        <v>0</v>
      </c>
      <c r="FQ33">
        <v>0</v>
      </c>
      <c r="FR33">
        <f t="shared" si="42"/>
        <v>0</v>
      </c>
      <c r="FS33">
        <v>0</v>
      </c>
      <c r="FX33">
        <v>105</v>
      </c>
      <c r="FY33">
        <v>55</v>
      </c>
      <c r="GA33" t="s">
        <v>3</v>
      </c>
      <c r="GD33">
        <v>1</v>
      </c>
      <c r="GF33">
        <v>-424834600</v>
      </c>
      <c r="GG33">
        <v>2</v>
      </c>
      <c r="GH33">
        <v>1</v>
      </c>
      <c r="GI33">
        <v>2</v>
      </c>
      <c r="GJ33">
        <v>0</v>
      </c>
      <c r="GK33">
        <v>0</v>
      </c>
      <c r="GL33">
        <f t="shared" si="43"/>
        <v>0</v>
      </c>
      <c r="GM33">
        <f t="shared" si="44"/>
        <v>268947.28999999998</v>
      </c>
      <c r="GN33">
        <f t="shared" si="45"/>
        <v>268947.28999999998</v>
      </c>
      <c r="GO33">
        <f t="shared" si="46"/>
        <v>0</v>
      </c>
      <c r="GP33">
        <f t="shared" si="47"/>
        <v>0</v>
      </c>
      <c r="GR33">
        <v>0</v>
      </c>
      <c r="GS33">
        <v>3</v>
      </c>
      <c r="GT33">
        <v>0</v>
      </c>
      <c r="GU33" t="s">
        <v>3</v>
      </c>
      <c r="GV33">
        <f>ROUND((GT33),6)</f>
        <v>0</v>
      </c>
      <c r="GW33">
        <v>1</v>
      </c>
      <c r="GX33">
        <f t="shared" si="48"/>
        <v>0</v>
      </c>
      <c r="HA33">
        <v>0</v>
      </c>
      <c r="HB33">
        <v>0</v>
      </c>
      <c r="HC33">
        <f t="shared" si="49"/>
        <v>0</v>
      </c>
      <c r="IK33">
        <v>0</v>
      </c>
    </row>
    <row r="35" spans="1:245" x14ac:dyDescent="0.2">
      <c r="A35" s="68">
        <v>51</v>
      </c>
      <c r="B35" s="3">
        <f>B24</f>
        <v>1</v>
      </c>
      <c r="C35" s="3">
        <f>A24</f>
        <v>4</v>
      </c>
      <c r="D35" s="3">
        <f>ROW(A24)</f>
        <v>24</v>
      </c>
      <c r="E35" s="3"/>
      <c r="F35" s="3" t="str">
        <f>IF(F24&lt;&gt;"",F24,"")</f>
        <v>Новый раздел</v>
      </c>
      <c r="G35" s="3" t="str">
        <f>IF(G24&lt;&gt;"",G24,"")</f>
        <v>№1 Стены и перегородки.</v>
      </c>
      <c r="H35" s="3">
        <v>0</v>
      </c>
      <c r="I35" s="3"/>
      <c r="J35" s="3"/>
      <c r="K35" s="3"/>
      <c r="L35" s="3"/>
      <c r="M35" s="3"/>
      <c r="N35" s="3"/>
      <c r="O35" s="3">
        <f t="shared" ref="O35:T35" si="50">ROUND(AB35,2)</f>
        <v>12045.55</v>
      </c>
      <c r="P35" s="3">
        <f t="shared" si="50"/>
        <v>0</v>
      </c>
      <c r="Q35" s="3">
        <f t="shared" si="50"/>
        <v>165.85</v>
      </c>
      <c r="R35" s="3">
        <f t="shared" si="50"/>
        <v>37.71</v>
      </c>
      <c r="S35" s="3">
        <f t="shared" si="50"/>
        <v>11879.7</v>
      </c>
      <c r="T35" s="3">
        <f t="shared" si="50"/>
        <v>0</v>
      </c>
      <c r="U35" s="3">
        <f>AH35</f>
        <v>1457.9108271</v>
      </c>
      <c r="V35" s="3">
        <f>AI35</f>
        <v>3.0931004999999998</v>
      </c>
      <c r="W35" s="3">
        <f>ROUND(AJ35,2)</f>
        <v>0</v>
      </c>
      <c r="X35" s="3">
        <f>ROUND(AK35,2)</f>
        <v>12938.38</v>
      </c>
      <c r="Y35" s="3">
        <f>ROUND(AL35,2)</f>
        <v>7829.88</v>
      </c>
      <c r="Z35" s="3"/>
      <c r="AA35" s="3"/>
      <c r="AB35" s="3">
        <f>ROUND(SUMIF(AA28:AA33,"=49290729",O28:O33),2)</f>
        <v>12045.55</v>
      </c>
      <c r="AC35" s="3">
        <f>ROUND(SUMIF(AA28:AA33,"=49290729",P28:P33),2)</f>
        <v>0</v>
      </c>
      <c r="AD35" s="3">
        <f>ROUND(SUMIF(AA28:AA33,"=49290729",Q28:Q33),2)</f>
        <v>165.85</v>
      </c>
      <c r="AE35" s="3">
        <f>ROUND(SUMIF(AA28:AA33,"=49290729",R28:R33),2)</f>
        <v>37.71</v>
      </c>
      <c r="AF35" s="3">
        <f>ROUND(SUMIF(AA28:AA33,"=49290729",S28:S33),2)</f>
        <v>11879.7</v>
      </c>
      <c r="AG35" s="3">
        <f>ROUND(SUMIF(AA28:AA33,"=49290729",T28:T33),2)</f>
        <v>0</v>
      </c>
      <c r="AH35" s="3">
        <f>SUMIF(AA28:AA33,"=49290729",U28:U33)</f>
        <v>1457.9108271</v>
      </c>
      <c r="AI35" s="3">
        <f>SUMIF(AA28:AA33,"=49290729",V28:V33)</f>
        <v>3.0931004999999998</v>
      </c>
      <c r="AJ35" s="3">
        <f>ROUND(SUMIF(AA28:AA33,"=49290729",W28:W33),2)</f>
        <v>0</v>
      </c>
      <c r="AK35" s="3">
        <f>ROUND(SUMIF(AA28:AA33,"=49290729",X28:X33),2)</f>
        <v>12938.38</v>
      </c>
      <c r="AL35" s="3">
        <f>ROUND(SUMIF(AA28:AA33,"=49290729",Y28:Y33),2)</f>
        <v>7829.88</v>
      </c>
      <c r="AM35" s="3"/>
      <c r="AN35" s="3"/>
      <c r="AO35" s="3">
        <f t="shared" ref="AO35:BC35" si="51">ROUND(BX35,2)</f>
        <v>0</v>
      </c>
      <c r="AP35" s="3">
        <f t="shared" si="51"/>
        <v>0</v>
      </c>
      <c r="AQ35" s="3">
        <f t="shared" si="51"/>
        <v>0</v>
      </c>
      <c r="AR35" s="3">
        <f t="shared" si="51"/>
        <v>32813.81</v>
      </c>
      <c r="AS35" s="3">
        <f t="shared" si="51"/>
        <v>32813.81</v>
      </c>
      <c r="AT35" s="3">
        <f t="shared" si="51"/>
        <v>0</v>
      </c>
      <c r="AU35" s="3">
        <f t="shared" si="51"/>
        <v>0</v>
      </c>
      <c r="AV35" s="3">
        <f t="shared" si="51"/>
        <v>0</v>
      </c>
      <c r="AW35" s="3">
        <f t="shared" si="51"/>
        <v>0</v>
      </c>
      <c r="AX35" s="3">
        <f t="shared" si="51"/>
        <v>0</v>
      </c>
      <c r="AY35" s="3">
        <f t="shared" si="51"/>
        <v>0</v>
      </c>
      <c r="AZ35" s="3">
        <f t="shared" si="51"/>
        <v>0</v>
      </c>
      <c r="BA35" s="3">
        <f t="shared" si="51"/>
        <v>0</v>
      </c>
      <c r="BB35" s="3">
        <f t="shared" si="51"/>
        <v>0</v>
      </c>
      <c r="BC35" s="3">
        <f t="shared" si="51"/>
        <v>0</v>
      </c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>
        <f>ROUND(SUMIF(AA28:AA33,"=49290729",FQ28:FQ33),2)</f>
        <v>0</v>
      </c>
      <c r="BY35" s="3">
        <f>ROUND(SUMIF(AA28:AA33,"=49290729",FR28:FR33),2)</f>
        <v>0</v>
      </c>
      <c r="BZ35" s="3">
        <f>ROUND(SUMIF(AA28:AA33,"=49290729",GL28:GL33),2)</f>
        <v>0</v>
      </c>
      <c r="CA35" s="3">
        <f>ROUND(SUMIF(AA28:AA33,"=49290729",GM28:GM33),2)</f>
        <v>32813.81</v>
      </c>
      <c r="CB35" s="3">
        <f>ROUND(SUMIF(AA28:AA33,"=49290729",GN28:GN33),2)</f>
        <v>32813.81</v>
      </c>
      <c r="CC35" s="3">
        <f>ROUND(SUMIF(AA28:AA33,"=49290729",GO28:GO33),2)</f>
        <v>0</v>
      </c>
      <c r="CD35" s="3">
        <f>ROUND(SUMIF(AA28:AA33,"=49290729",GP28:GP33),2)</f>
        <v>0</v>
      </c>
      <c r="CE35" s="3">
        <f>AC35-BX35</f>
        <v>0</v>
      </c>
      <c r="CF35" s="3">
        <f>AC35-BY35</f>
        <v>0</v>
      </c>
      <c r="CG35" s="3">
        <f>BX35-BZ35</f>
        <v>0</v>
      </c>
      <c r="CH35" s="3">
        <f>AC35-BX35-BY35+BZ35</f>
        <v>0</v>
      </c>
      <c r="CI35" s="3">
        <f>BY35-BZ35</f>
        <v>0</v>
      </c>
      <c r="CJ35" s="3">
        <f>ROUND(SUMIF(AA28:AA33,"=49290729",GX28:GX33),2)</f>
        <v>0</v>
      </c>
      <c r="CK35" s="3">
        <f>ROUND(SUMIF(AA28:AA33,"=49290729",GY28:GY33),2)</f>
        <v>0</v>
      </c>
      <c r="CL35" s="3">
        <f>ROUND(SUMIF(AA28:AA33,"=49290729",GZ28:GZ33),2)</f>
        <v>0</v>
      </c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4">
        <f t="shared" ref="DG35:DL35" si="52">ROUND(DT35,2)</f>
        <v>360799.27</v>
      </c>
      <c r="DH35" s="4">
        <f t="shared" si="52"/>
        <v>0</v>
      </c>
      <c r="DI35" s="4">
        <f t="shared" si="52"/>
        <v>1557.32</v>
      </c>
      <c r="DJ35" s="4">
        <f t="shared" si="52"/>
        <v>1140.24</v>
      </c>
      <c r="DK35" s="4">
        <f t="shared" si="52"/>
        <v>359241.95</v>
      </c>
      <c r="DL35" s="4">
        <f t="shared" si="52"/>
        <v>0</v>
      </c>
      <c r="DM35" s="4">
        <f>DZ35</f>
        <v>1457.9108271</v>
      </c>
      <c r="DN35" s="4">
        <f>EA35</f>
        <v>3.0931004999999998</v>
      </c>
      <c r="DO35" s="4">
        <f>ROUND(EB35,2)</f>
        <v>0</v>
      </c>
      <c r="DP35" s="4">
        <f>ROUND(EC35,2)</f>
        <v>391256.36</v>
      </c>
      <c r="DQ35" s="4">
        <f>ROUND(ED35,2)</f>
        <v>236775.41</v>
      </c>
      <c r="DR35" s="4"/>
      <c r="DS35" s="4"/>
      <c r="DT35" s="4">
        <f>ROUND(SUMIF(AA28:AA33,"=49290730",O28:O33),2)</f>
        <v>360799.27</v>
      </c>
      <c r="DU35" s="4">
        <f>ROUND(SUMIF(AA28:AA33,"=49290730",P28:P33),2)</f>
        <v>0</v>
      </c>
      <c r="DV35" s="4">
        <f>ROUND(SUMIF(AA28:AA33,"=49290730",Q28:Q33),2)</f>
        <v>1557.32</v>
      </c>
      <c r="DW35" s="4">
        <f>ROUND(SUMIF(AA28:AA33,"=49290730",R28:R33),2)</f>
        <v>1140.24</v>
      </c>
      <c r="DX35" s="4">
        <f>ROUND(SUMIF(AA28:AA33,"=49290730",S28:S33),2)</f>
        <v>359241.95</v>
      </c>
      <c r="DY35" s="4">
        <f>ROUND(SUMIF(AA28:AA33,"=49290730",T28:T33),2)</f>
        <v>0</v>
      </c>
      <c r="DZ35" s="4">
        <f>SUMIF(AA28:AA33,"=49290730",U28:U33)</f>
        <v>1457.9108271</v>
      </c>
      <c r="EA35" s="4">
        <f>SUMIF(AA28:AA33,"=49290730",V28:V33)</f>
        <v>3.0931004999999998</v>
      </c>
      <c r="EB35" s="4">
        <f>ROUND(SUMIF(AA28:AA33,"=49290730",W28:W33),2)</f>
        <v>0</v>
      </c>
      <c r="EC35" s="4">
        <f>ROUND(SUMIF(AA28:AA33,"=49290730",X28:X33),2)</f>
        <v>391256.36</v>
      </c>
      <c r="ED35" s="4">
        <f>ROUND(SUMIF(AA28:AA33,"=49290730",Y28:Y33),2)</f>
        <v>236775.41</v>
      </c>
      <c r="EE35" s="4"/>
      <c r="EF35" s="4"/>
      <c r="EG35" s="4">
        <f t="shared" ref="EG35:EU35" si="53">ROUND(FP35,2)</f>
        <v>0</v>
      </c>
      <c r="EH35" s="4">
        <f t="shared" si="53"/>
        <v>0</v>
      </c>
      <c r="EI35" s="4">
        <f t="shared" si="53"/>
        <v>0</v>
      </c>
      <c r="EJ35" s="4">
        <f t="shared" si="53"/>
        <v>988831.04</v>
      </c>
      <c r="EK35" s="4">
        <f t="shared" si="53"/>
        <v>988831.04</v>
      </c>
      <c r="EL35" s="4">
        <f t="shared" si="53"/>
        <v>0</v>
      </c>
      <c r="EM35" s="4">
        <f t="shared" si="53"/>
        <v>0</v>
      </c>
      <c r="EN35" s="4">
        <f t="shared" si="53"/>
        <v>0</v>
      </c>
      <c r="EO35" s="4">
        <f t="shared" si="53"/>
        <v>0</v>
      </c>
      <c r="EP35" s="4">
        <f t="shared" si="53"/>
        <v>0</v>
      </c>
      <c r="EQ35" s="4">
        <f t="shared" si="53"/>
        <v>0</v>
      </c>
      <c r="ER35" s="4">
        <f t="shared" si="53"/>
        <v>0</v>
      </c>
      <c r="ES35" s="4">
        <f t="shared" si="53"/>
        <v>0</v>
      </c>
      <c r="ET35" s="4">
        <f t="shared" si="53"/>
        <v>0</v>
      </c>
      <c r="EU35" s="4">
        <f t="shared" si="53"/>
        <v>0</v>
      </c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>
        <f>ROUND(SUMIF(AA28:AA33,"=49290730",FQ28:FQ33),2)</f>
        <v>0</v>
      </c>
      <c r="FQ35" s="4">
        <f>ROUND(SUMIF(AA28:AA33,"=49290730",FR28:FR33),2)</f>
        <v>0</v>
      </c>
      <c r="FR35" s="4">
        <f>ROUND(SUMIF(AA28:AA33,"=49290730",GL28:GL33),2)</f>
        <v>0</v>
      </c>
      <c r="FS35" s="4">
        <f>ROUND(SUMIF(AA28:AA33,"=49290730",GM28:GM33),2)</f>
        <v>988831.04</v>
      </c>
      <c r="FT35" s="4">
        <f>ROUND(SUMIF(AA28:AA33,"=49290730",GN28:GN33),2)</f>
        <v>988831.04</v>
      </c>
      <c r="FU35" s="4">
        <f>ROUND(SUMIF(AA28:AA33,"=49290730",GO28:GO33),2)</f>
        <v>0</v>
      </c>
      <c r="FV35" s="4">
        <f>ROUND(SUMIF(AA28:AA33,"=49290730",GP28:GP33),2)</f>
        <v>0</v>
      </c>
      <c r="FW35" s="4">
        <f>DU35-FP35</f>
        <v>0</v>
      </c>
      <c r="FX35" s="4">
        <f>DU35-FQ35</f>
        <v>0</v>
      </c>
      <c r="FY35" s="4">
        <f>FP35-FR35</f>
        <v>0</v>
      </c>
      <c r="FZ35" s="4">
        <f>DU35-FP35-FQ35+FR35</f>
        <v>0</v>
      </c>
      <c r="GA35" s="4">
        <f>FQ35-FR35</f>
        <v>0</v>
      </c>
      <c r="GB35" s="4">
        <f>ROUND(SUMIF(AA28:AA33,"=49290730",GX28:GX33),2)</f>
        <v>0</v>
      </c>
      <c r="GC35" s="4">
        <f>ROUND(SUMIF(AA28:AA33,"=49290730",GY28:GY33),2)</f>
        <v>0</v>
      </c>
      <c r="GD35" s="4">
        <f>ROUND(SUMIF(AA28:AA33,"=49290730",GZ28:GZ33),2)</f>
        <v>0</v>
      </c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>
        <v>0</v>
      </c>
    </row>
    <row r="37" spans="1:245" x14ac:dyDescent="0.2">
      <c r="A37" s="70">
        <v>50</v>
      </c>
      <c r="B37" s="5">
        <v>0</v>
      </c>
      <c r="C37" s="5">
        <v>0</v>
      </c>
      <c r="D37" s="5">
        <v>1</v>
      </c>
      <c r="E37" s="5">
        <v>201</v>
      </c>
      <c r="F37" s="5">
        <f>ROUND(Source!O35,O37)</f>
        <v>12045.55</v>
      </c>
      <c r="G37" s="5" t="s">
        <v>38</v>
      </c>
      <c r="H37" s="5" t="s">
        <v>39</v>
      </c>
      <c r="I37" s="5"/>
      <c r="J37" s="5"/>
      <c r="K37" s="5">
        <v>201</v>
      </c>
      <c r="L37" s="5">
        <v>1</v>
      </c>
      <c r="M37" s="5">
        <v>3</v>
      </c>
      <c r="N37" s="5" t="s">
        <v>3</v>
      </c>
      <c r="O37" s="5">
        <v>2</v>
      </c>
      <c r="P37" s="5">
        <f>ROUND(Source!DG35,O37)</f>
        <v>360799.27</v>
      </c>
      <c r="Q37" s="5"/>
      <c r="R37" s="5"/>
      <c r="S37" s="5"/>
      <c r="T37" s="5"/>
      <c r="U37" s="5"/>
      <c r="V37" s="5"/>
      <c r="W37" s="5"/>
    </row>
    <row r="38" spans="1:245" hidden="1" x14ac:dyDescent="0.2">
      <c r="A38" s="70">
        <v>50</v>
      </c>
      <c r="B38" s="5">
        <v>0</v>
      </c>
      <c r="C38" s="5">
        <v>0</v>
      </c>
      <c r="D38" s="5">
        <v>1</v>
      </c>
      <c r="E38" s="5">
        <v>202</v>
      </c>
      <c r="F38" s="5">
        <f>ROUND(Source!P35,O38)</f>
        <v>0</v>
      </c>
      <c r="G38" s="5" t="s">
        <v>40</v>
      </c>
      <c r="H38" s="5" t="s">
        <v>41</v>
      </c>
      <c r="I38" s="5"/>
      <c r="J38" s="5"/>
      <c r="K38" s="5">
        <v>202</v>
      </c>
      <c r="L38" s="5">
        <v>2</v>
      </c>
      <c r="M38" s="5">
        <v>3</v>
      </c>
      <c r="N38" s="5" t="s">
        <v>3</v>
      </c>
      <c r="O38" s="5">
        <v>2</v>
      </c>
      <c r="P38" s="5">
        <f>ROUND(Source!DH35,O38)</f>
        <v>0</v>
      </c>
      <c r="Q38" s="5"/>
      <c r="R38" s="5"/>
      <c r="S38" s="5"/>
      <c r="T38" s="5"/>
      <c r="U38" s="5"/>
      <c r="V38" s="5"/>
      <c r="W38" s="5"/>
    </row>
    <row r="39" spans="1:245" hidden="1" x14ac:dyDescent="0.2">
      <c r="A39" s="70">
        <v>50</v>
      </c>
      <c r="B39" s="5">
        <v>0</v>
      </c>
      <c r="C39" s="5">
        <v>0</v>
      </c>
      <c r="D39" s="5">
        <v>1</v>
      </c>
      <c r="E39" s="5">
        <v>222</v>
      </c>
      <c r="F39" s="5">
        <f>ROUND(Source!AO35,O39)</f>
        <v>0</v>
      </c>
      <c r="G39" s="5" t="s">
        <v>42</v>
      </c>
      <c r="H39" s="5" t="s">
        <v>43</v>
      </c>
      <c r="I39" s="5"/>
      <c r="J39" s="5"/>
      <c r="K39" s="5">
        <v>222</v>
      </c>
      <c r="L39" s="5">
        <v>3</v>
      </c>
      <c r="M39" s="5">
        <v>3</v>
      </c>
      <c r="N39" s="5" t="s">
        <v>3</v>
      </c>
      <c r="O39" s="5">
        <v>2</v>
      </c>
      <c r="P39" s="5">
        <f>ROUND(Source!EG35,O39)</f>
        <v>0</v>
      </c>
      <c r="Q39" s="5"/>
      <c r="R39" s="5"/>
      <c r="S39" s="5"/>
      <c r="T39" s="5"/>
      <c r="U39" s="5"/>
      <c r="V39" s="5"/>
      <c r="W39" s="5"/>
    </row>
    <row r="40" spans="1:245" hidden="1" x14ac:dyDescent="0.2">
      <c r="A40" s="70">
        <v>50</v>
      </c>
      <c r="B40" s="5">
        <v>0</v>
      </c>
      <c r="C40" s="5">
        <v>0</v>
      </c>
      <c r="D40" s="5">
        <v>1</v>
      </c>
      <c r="E40" s="5">
        <v>225</v>
      </c>
      <c r="F40" s="5">
        <f>ROUND(Source!AV35,O40)</f>
        <v>0</v>
      </c>
      <c r="G40" s="5" t="s">
        <v>44</v>
      </c>
      <c r="H40" s="5" t="s">
        <v>45</v>
      </c>
      <c r="I40" s="5"/>
      <c r="J40" s="5"/>
      <c r="K40" s="5">
        <v>225</v>
      </c>
      <c r="L40" s="5">
        <v>4</v>
      </c>
      <c r="M40" s="5">
        <v>3</v>
      </c>
      <c r="N40" s="5" t="s">
        <v>3</v>
      </c>
      <c r="O40" s="5">
        <v>2</v>
      </c>
      <c r="P40" s="5">
        <f>ROUND(Source!EN35,O40)</f>
        <v>0</v>
      </c>
      <c r="Q40" s="5"/>
      <c r="R40" s="5"/>
      <c r="S40" s="5"/>
      <c r="T40" s="5"/>
      <c r="U40" s="5"/>
      <c r="V40" s="5"/>
      <c r="W40" s="5"/>
    </row>
    <row r="41" spans="1:245" hidden="1" x14ac:dyDescent="0.2">
      <c r="A41" s="70">
        <v>50</v>
      </c>
      <c r="B41" s="5">
        <v>0</v>
      </c>
      <c r="C41" s="5">
        <v>0</v>
      </c>
      <c r="D41" s="5">
        <v>1</v>
      </c>
      <c r="E41" s="5">
        <v>226</v>
      </c>
      <c r="F41" s="5">
        <f>ROUND(Source!AW35,O41)</f>
        <v>0</v>
      </c>
      <c r="G41" s="5" t="s">
        <v>46</v>
      </c>
      <c r="H41" s="5" t="s">
        <v>47</v>
      </c>
      <c r="I41" s="5"/>
      <c r="J41" s="5"/>
      <c r="K41" s="5">
        <v>226</v>
      </c>
      <c r="L41" s="5">
        <v>5</v>
      </c>
      <c r="M41" s="5">
        <v>3</v>
      </c>
      <c r="N41" s="5" t="s">
        <v>3</v>
      </c>
      <c r="O41" s="5">
        <v>2</v>
      </c>
      <c r="P41" s="5">
        <f>ROUND(Source!EO35,O41)</f>
        <v>0</v>
      </c>
      <c r="Q41" s="5"/>
      <c r="R41" s="5"/>
      <c r="S41" s="5"/>
      <c r="T41" s="5"/>
      <c r="U41" s="5"/>
      <c r="V41" s="5"/>
      <c r="W41" s="5"/>
    </row>
    <row r="42" spans="1:245" hidden="1" x14ac:dyDescent="0.2">
      <c r="A42" s="70">
        <v>50</v>
      </c>
      <c r="B42" s="5">
        <v>0</v>
      </c>
      <c r="C42" s="5">
        <v>0</v>
      </c>
      <c r="D42" s="5">
        <v>1</v>
      </c>
      <c r="E42" s="5">
        <v>227</v>
      </c>
      <c r="F42" s="5">
        <f>ROUND(Source!AX35,O42)</f>
        <v>0</v>
      </c>
      <c r="G42" s="5" t="s">
        <v>48</v>
      </c>
      <c r="H42" s="5" t="s">
        <v>49</v>
      </c>
      <c r="I42" s="5"/>
      <c r="J42" s="5"/>
      <c r="K42" s="5">
        <v>227</v>
      </c>
      <c r="L42" s="5">
        <v>6</v>
      </c>
      <c r="M42" s="5">
        <v>3</v>
      </c>
      <c r="N42" s="5" t="s">
        <v>3</v>
      </c>
      <c r="O42" s="5">
        <v>2</v>
      </c>
      <c r="P42" s="5">
        <f>ROUND(Source!EP35,O42)</f>
        <v>0</v>
      </c>
      <c r="Q42" s="5"/>
      <c r="R42" s="5"/>
      <c r="S42" s="5"/>
      <c r="T42" s="5"/>
      <c r="U42" s="5"/>
      <c r="V42" s="5"/>
      <c r="W42" s="5"/>
    </row>
    <row r="43" spans="1:245" hidden="1" x14ac:dyDescent="0.2">
      <c r="A43" s="70">
        <v>50</v>
      </c>
      <c r="B43" s="5">
        <v>0</v>
      </c>
      <c r="C43" s="5">
        <v>0</v>
      </c>
      <c r="D43" s="5">
        <v>1</v>
      </c>
      <c r="E43" s="5">
        <v>228</v>
      </c>
      <c r="F43" s="5">
        <f>ROUND(Source!AY35,O43)</f>
        <v>0</v>
      </c>
      <c r="G43" s="5" t="s">
        <v>50</v>
      </c>
      <c r="H43" s="5" t="s">
        <v>51</v>
      </c>
      <c r="I43" s="5"/>
      <c r="J43" s="5"/>
      <c r="K43" s="5">
        <v>228</v>
      </c>
      <c r="L43" s="5">
        <v>7</v>
      </c>
      <c r="M43" s="5">
        <v>3</v>
      </c>
      <c r="N43" s="5" t="s">
        <v>3</v>
      </c>
      <c r="O43" s="5">
        <v>2</v>
      </c>
      <c r="P43" s="5">
        <f>ROUND(Source!EQ35,O43)</f>
        <v>0</v>
      </c>
      <c r="Q43" s="5"/>
      <c r="R43" s="5"/>
      <c r="S43" s="5"/>
      <c r="T43" s="5"/>
      <c r="U43" s="5"/>
      <c r="V43" s="5"/>
      <c r="W43" s="5"/>
    </row>
    <row r="44" spans="1:245" hidden="1" x14ac:dyDescent="0.2">
      <c r="A44" s="70">
        <v>50</v>
      </c>
      <c r="B44" s="5">
        <v>0</v>
      </c>
      <c r="C44" s="5">
        <v>0</v>
      </c>
      <c r="D44" s="5">
        <v>1</v>
      </c>
      <c r="E44" s="5">
        <v>216</v>
      </c>
      <c r="F44" s="5">
        <f>ROUND(Source!AP35,O44)</f>
        <v>0</v>
      </c>
      <c r="G44" s="5" t="s">
        <v>52</v>
      </c>
      <c r="H44" s="5" t="s">
        <v>53</v>
      </c>
      <c r="I44" s="5"/>
      <c r="J44" s="5"/>
      <c r="K44" s="5">
        <v>216</v>
      </c>
      <c r="L44" s="5">
        <v>8</v>
      </c>
      <c r="M44" s="5">
        <v>3</v>
      </c>
      <c r="N44" s="5" t="s">
        <v>3</v>
      </c>
      <c r="O44" s="5">
        <v>2</v>
      </c>
      <c r="P44" s="5">
        <f>ROUND(Source!EH35,O44)</f>
        <v>0</v>
      </c>
      <c r="Q44" s="5"/>
      <c r="R44" s="5"/>
      <c r="S44" s="5"/>
      <c r="T44" s="5"/>
      <c r="U44" s="5"/>
      <c r="V44" s="5"/>
      <c r="W44" s="5"/>
    </row>
    <row r="45" spans="1:245" hidden="1" x14ac:dyDescent="0.2">
      <c r="A45" s="70">
        <v>50</v>
      </c>
      <c r="B45" s="5">
        <v>0</v>
      </c>
      <c r="C45" s="5">
        <v>0</v>
      </c>
      <c r="D45" s="5">
        <v>1</v>
      </c>
      <c r="E45" s="5">
        <v>223</v>
      </c>
      <c r="F45" s="5">
        <f>ROUND(Source!AQ35,O45)</f>
        <v>0</v>
      </c>
      <c r="G45" s="5" t="s">
        <v>54</v>
      </c>
      <c r="H45" s="5" t="s">
        <v>55</v>
      </c>
      <c r="I45" s="5"/>
      <c r="J45" s="5"/>
      <c r="K45" s="5">
        <v>223</v>
      </c>
      <c r="L45" s="5">
        <v>9</v>
      </c>
      <c r="M45" s="5">
        <v>3</v>
      </c>
      <c r="N45" s="5" t="s">
        <v>3</v>
      </c>
      <c r="O45" s="5">
        <v>2</v>
      </c>
      <c r="P45" s="5">
        <f>ROUND(Source!EI35,O45)</f>
        <v>0</v>
      </c>
      <c r="Q45" s="5"/>
      <c r="R45" s="5"/>
      <c r="S45" s="5"/>
      <c r="T45" s="5"/>
      <c r="U45" s="5"/>
      <c r="V45" s="5"/>
      <c r="W45" s="5"/>
    </row>
    <row r="46" spans="1:245" hidden="1" x14ac:dyDescent="0.2">
      <c r="A46" s="70">
        <v>50</v>
      </c>
      <c r="B46" s="5">
        <v>0</v>
      </c>
      <c r="C46" s="5">
        <v>0</v>
      </c>
      <c r="D46" s="5">
        <v>1</v>
      </c>
      <c r="E46" s="5">
        <v>229</v>
      </c>
      <c r="F46" s="5">
        <f>ROUND(Source!AZ35,O46)</f>
        <v>0</v>
      </c>
      <c r="G46" s="5" t="s">
        <v>56</v>
      </c>
      <c r="H46" s="5" t="s">
        <v>57</v>
      </c>
      <c r="I46" s="5"/>
      <c r="J46" s="5"/>
      <c r="K46" s="5">
        <v>229</v>
      </c>
      <c r="L46" s="5">
        <v>10</v>
      </c>
      <c r="M46" s="5">
        <v>3</v>
      </c>
      <c r="N46" s="5" t="s">
        <v>3</v>
      </c>
      <c r="O46" s="5">
        <v>2</v>
      </c>
      <c r="P46" s="5">
        <f>ROUND(Source!ER35,O46)</f>
        <v>0</v>
      </c>
      <c r="Q46" s="5"/>
      <c r="R46" s="5"/>
      <c r="S46" s="5"/>
      <c r="T46" s="5"/>
      <c r="U46" s="5"/>
      <c r="V46" s="5"/>
      <c r="W46" s="5"/>
    </row>
    <row r="47" spans="1:245" hidden="1" x14ac:dyDescent="0.2">
      <c r="A47" s="70">
        <v>50</v>
      </c>
      <c r="B47" s="5">
        <v>0</v>
      </c>
      <c r="C47" s="5">
        <v>0</v>
      </c>
      <c r="D47" s="5">
        <v>1</v>
      </c>
      <c r="E47" s="5">
        <v>203</v>
      </c>
      <c r="F47" s="5">
        <f>ROUND(Source!Q35,O47)</f>
        <v>165.85</v>
      </c>
      <c r="G47" s="5" t="s">
        <v>58</v>
      </c>
      <c r="H47" s="5" t="s">
        <v>59</v>
      </c>
      <c r="I47" s="5"/>
      <c r="J47" s="5"/>
      <c r="K47" s="5">
        <v>203</v>
      </c>
      <c r="L47" s="5">
        <v>11</v>
      </c>
      <c r="M47" s="5">
        <v>3</v>
      </c>
      <c r="N47" s="5" t="s">
        <v>3</v>
      </c>
      <c r="O47" s="5">
        <v>2</v>
      </c>
      <c r="P47" s="5">
        <f>ROUND(Source!DI35,O47)</f>
        <v>1557.32</v>
      </c>
      <c r="Q47" s="5"/>
      <c r="R47" s="5"/>
      <c r="S47" s="5"/>
      <c r="T47" s="5"/>
      <c r="U47" s="5"/>
      <c r="V47" s="5"/>
      <c r="W47" s="5"/>
    </row>
    <row r="48" spans="1:245" hidden="1" x14ac:dyDescent="0.2">
      <c r="A48" s="70">
        <v>50</v>
      </c>
      <c r="B48" s="5">
        <v>0</v>
      </c>
      <c r="C48" s="5">
        <v>0</v>
      </c>
      <c r="D48" s="5">
        <v>1</v>
      </c>
      <c r="E48" s="5">
        <v>231</v>
      </c>
      <c r="F48" s="5">
        <f>ROUND(Source!BB35,O48)</f>
        <v>0</v>
      </c>
      <c r="G48" s="5" t="s">
        <v>60</v>
      </c>
      <c r="H48" s="5" t="s">
        <v>61</v>
      </c>
      <c r="I48" s="5"/>
      <c r="J48" s="5"/>
      <c r="K48" s="5">
        <v>231</v>
      </c>
      <c r="L48" s="5">
        <v>12</v>
      </c>
      <c r="M48" s="5">
        <v>3</v>
      </c>
      <c r="N48" s="5" t="s">
        <v>3</v>
      </c>
      <c r="O48" s="5">
        <v>2</v>
      </c>
      <c r="P48" s="5">
        <f>ROUND(Source!ET35,O48)</f>
        <v>0</v>
      </c>
      <c r="Q48" s="5"/>
      <c r="R48" s="5"/>
      <c r="S48" s="5"/>
      <c r="T48" s="5"/>
      <c r="U48" s="5"/>
      <c r="V48" s="5"/>
      <c r="W48" s="5"/>
    </row>
    <row r="49" spans="1:88" hidden="1" x14ac:dyDescent="0.2">
      <c r="A49" s="70">
        <v>50</v>
      </c>
      <c r="B49" s="5">
        <v>0</v>
      </c>
      <c r="C49" s="5">
        <v>0</v>
      </c>
      <c r="D49" s="5">
        <v>1</v>
      </c>
      <c r="E49" s="5">
        <v>204</v>
      </c>
      <c r="F49" s="5">
        <f>ROUND(Source!R35,O49)</f>
        <v>37.71</v>
      </c>
      <c r="G49" s="5" t="s">
        <v>62</v>
      </c>
      <c r="H49" s="5" t="s">
        <v>63</v>
      </c>
      <c r="I49" s="5"/>
      <c r="J49" s="5"/>
      <c r="K49" s="5">
        <v>204</v>
      </c>
      <c r="L49" s="5">
        <v>13</v>
      </c>
      <c r="M49" s="5">
        <v>3</v>
      </c>
      <c r="N49" s="5" t="s">
        <v>3</v>
      </c>
      <c r="O49" s="5">
        <v>2</v>
      </c>
      <c r="P49" s="5">
        <f>ROUND(Source!DJ35,O49)</f>
        <v>1140.24</v>
      </c>
      <c r="Q49" s="5"/>
      <c r="R49" s="5"/>
      <c r="S49" s="5"/>
      <c r="T49" s="5"/>
      <c r="U49" s="5"/>
      <c r="V49" s="5"/>
      <c r="W49" s="5"/>
    </row>
    <row r="50" spans="1:88" hidden="1" x14ac:dyDescent="0.2">
      <c r="A50" s="70">
        <v>50</v>
      </c>
      <c r="B50" s="5">
        <v>0</v>
      </c>
      <c r="C50" s="5">
        <v>0</v>
      </c>
      <c r="D50" s="5">
        <v>1</v>
      </c>
      <c r="E50" s="5">
        <v>205</v>
      </c>
      <c r="F50" s="5">
        <f>ROUND(Source!S35,O50)</f>
        <v>11879.7</v>
      </c>
      <c r="G50" s="5" t="s">
        <v>64</v>
      </c>
      <c r="H50" s="5" t="s">
        <v>65</v>
      </c>
      <c r="I50" s="5"/>
      <c r="J50" s="5"/>
      <c r="K50" s="5">
        <v>205</v>
      </c>
      <c r="L50" s="5">
        <v>14</v>
      </c>
      <c r="M50" s="5">
        <v>3</v>
      </c>
      <c r="N50" s="5" t="s">
        <v>3</v>
      </c>
      <c r="O50" s="5">
        <v>2</v>
      </c>
      <c r="P50" s="5">
        <f>ROUND(Source!DK35,O50)</f>
        <v>359241.95</v>
      </c>
      <c r="Q50" s="5"/>
      <c r="R50" s="5"/>
      <c r="S50" s="5"/>
      <c r="T50" s="5"/>
      <c r="U50" s="5"/>
      <c r="V50" s="5"/>
      <c r="W50" s="5"/>
    </row>
    <row r="51" spans="1:88" hidden="1" x14ac:dyDescent="0.2">
      <c r="A51" s="70">
        <v>50</v>
      </c>
      <c r="B51" s="5">
        <v>0</v>
      </c>
      <c r="C51" s="5">
        <v>0</v>
      </c>
      <c r="D51" s="5">
        <v>1</v>
      </c>
      <c r="E51" s="5">
        <v>232</v>
      </c>
      <c r="F51" s="5">
        <f>ROUND(Source!BC35,O51)</f>
        <v>0</v>
      </c>
      <c r="G51" s="5" t="s">
        <v>66</v>
      </c>
      <c r="H51" s="5" t="s">
        <v>67</v>
      </c>
      <c r="I51" s="5"/>
      <c r="J51" s="5"/>
      <c r="K51" s="5">
        <v>232</v>
      </c>
      <c r="L51" s="5">
        <v>15</v>
      </c>
      <c r="M51" s="5">
        <v>3</v>
      </c>
      <c r="N51" s="5" t="s">
        <v>3</v>
      </c>
      <c r="O51" s="5">
        <v>2</v>
      </c>
      <c r="P51" s="5">
        <f>ROUND(Source!EU35,O51)</f>
        <v>0</v>
      </c>
      <c r="Q51" s="5"/>
      <c r="R51" s="5"/>
      <c r="S51" s="5"/>
      <c r="T51" s="5"/>
      <c r="U51" s="5"/>
      <c r="V51" s="5"/>
      <c r="W51" s="5"/>
    </row>
    <row r="52" spans="1:88" x14ac:dyDescent="0.2">
      <c r="A52" s="70">
        <v>50</v>
      </c>
      <c r="B52" s="5">
        <v>0</v>
      </c>
      <c r="C52" s="5">
        <v>0</v>
      </c>
      <c r="D52" s="5">
        <v>1</v>
      </c>
      <c r="E52" s="5">
        <v>214</v>
      </c>
      <c r="F52" s="5">
        <f>ROUND(Source!AS35,O52)</f>
        <v>32813.81</v>
      </c>
      <c r="G52" s="5" t="s">
        <v>68</v>
      </c>
      <c r="H52" s="5" t="s">
        <v>69</v>
      </c>
      <c r="I52" s="5"/>
      <c r="J52" s="5"/>
      <c r="K52" s="5">
        <v>214</v>
      </c>
      <c r="L52" s="5">
        <v>16</v>
      </c>
      <c r="M52" s="5">
        <v>3</v>
      </c>
      <c r="N52" s="5" t="s">
        <v>3</v>
      </c>
      <c r="O52" s="5">
        <v>2</v>
      </c>
      <c r="P52" s="5">
        <f>ROUND(Source!EK35,O52)</f>
        <v>988831.04</v>
      </c>
      <c r="Q52" s="5"/>
      <c r="R52" s="5"/>
      <c r="S52" s="5"/>
      <c r="T52" s="5"/>
      <c r="U52" s="5"/>
      <c r="V52" s="5"/>
      <c r="W52" s="5"/>
    </row>
    <row r="53" spans="1:88" hidden="1" x14ac:dyDescent="0.2">
      <c r="A53" s="70">
        <v>50</v>
      </c>
      <c r="B53" s="5">
        <v>0</v>
      </c>
      <c r="C53" s="5">
        <v>0</v>
      </c>
      <c r="D53" s="5">
        <v>1</v>
      </c>
      <c r="E53" s="5">
        <v>215</v>
      </c>
      <c r="F53" s="5">
        <f>ROUND(Source!AT35,O53)</f>
        <v>0</v>
      </c>
      <c r="G53" s="5" t="s">
        <v>70</v>
      </c>
      <c r="H53" s="5" t="s">
        <v>71</v>
      </c>
      <c r="I53" s="5"/>
      <c r="J53" s="5"/>
      <c r="K53" s="5">
        <v>215</v>
      </c>
      <c r="L53" s="5">
        <v>17</v>
      </c>
      <c r="M53" s="5">
        <v>3</v>
      </c>
      <c r="N53" s="5" t="s">
        <v>3</v>
      </c>
      <c r="O53" s="5">
        <v>2</v>
      </c>
      <c r="P53" s="5">
        <f>ROUND(Source!EL35,O53)</f>
        <v>0</v>
      </c>
      <c r="Q53" s="5"/>
      <c r="R53" s="5"/>
      <c r="S53" s="5"/>
      <c r="T53" s="5"/>
      <c r="U53" s="5"/>
      <c r="V53" s="5"/>
      <c r="W53" s="5"/>
    </row>
    <row r="54" spans="1:88" hidden="1" x14ac:dyDescent="0.2">
      <c r="A54" s="70">
        <v>50</v>
      </c>
      <c r="B54" s="5">
        <v>0</v>
      </c>
      <c r="C54" s="5">
        <v>0</v>
      </c>
      <c r="D54" s="5">
        <v>1</v>
      </c>
      <c r="E54" s="5">
        <v>217</v>
      </c>
      <c r="F54" s="5">
        <f>ROUND(Source!AU35,O54)</f>
        <v>0</v>
      </c>
      <c r="G54" s="5" t="s">
        <v>72</v>
      </c>
      <c r="H54" s="5" t="s">
        <v>73</v>
      </c>
      <c r="I54" s="5"/>
      <c r="J54" s="5"/>
      <c r="K54" s="5">
        <v>217</v>
      </c>
      <c r="L54" s="5">
        <v>18</v>
      </c>
      <c r="M54" s="5">
        <v>3</v>
      </c>
      <c r="N54" s="5" t="s">
        <v>3</v>
      </c>
      <c r="O54" s="5">
        <v>2</v>
      </c>
      <c r="P54" s="5">
        <f>ROUND(Source!EM35,O54)</f>
        <v>0</v>
      </c>
      <c r="Q54" s="5"/>
      <c r="R54" s="5"/>
      <c r="S54" s="5"/>
      <c r="T54" s="5"/>
      <c r="U54" s="5"/>
      <c r="V54" s="5"/>
      <c r="W54" s="5"/>
    </row>
    <row r="55" spans="1:88" hidden="1" x14ac:dyDescent="0.2">
      <c r="A55" s="70">
        <v>50</v>
      </c>
      <c r="B55" s="5">
        <v>0</v>
      </c>
      <c r="C55" s="5">
        <v>0</v>
      </c>
      <c r="D55" s="5">
        <v>1</v>
      </c>
      <c r="E55" s="5">
        <v>230</v>
      </c>
      <c r="F55" s="5">
        <f>ROUND(Source!BA35,O55)</f>
        <v>0</v>
      </c>
      <c r="G55" s="5" t="s">
        <v>74</v>
      </c>
      <c r="H55" s="5" t="s">
        <v>75</v>
      </c>
      <c r="I55" s="5"/>
      <c r="J55" s="5"/>
      <c r="K55" s="5">
        <v>230</v>
      </c>
      <c r="L55" s="5">
        <v>19</v>
      </c>
      <c r="M55" s="5">
        <v>3</v>
      </c>
      <c r="N55" s="5" t="s">
        <v>3</v>
      </c>
      <c r="O55" s="5">
        <v>2</v>
      </c>
      <c r="P55" s="5">
        <f>ROUND(Source!ES35,O55)</f>
        <v>0</v>
      </c>
      <c r="Q55" s="5"/>
      <c r="R55" s="5"/>
      <c r="S55" s="5"/>
      <c r="T55" s="5"/>
      <c r="U55" s="5"/>
      <c r="V55" s="5"/>
      <c r="W55" s="5"/>
    </row>
    <row r="56" spans="1:88" hidden="1" x14ac:dyDescent="0.2">
      <c r="A56" s="70">
        <v>50</v>
      </c>
      <c r="B56" s="5">
        <v>0</v>
      </c>
      <c r="C56" s="5">
        <v>0</v>
      </c>
      <c r="D56" s="5">
        <v>1</v>
      </c>
      <c r="E56" s="5">
        <v>206</v>
      </c>
      <c r="F56" s="5">
        <f>ROUND(Source!T35,O56)</f>
        <v>0</v>
      </c>
      <c r="G56" s="5" t="s">
        <v>76</v>
      </c>
      <c r="H56" s="5" t="s">
        <v>77</v>
      </c>
      <c r="I56" s="5"/>
      <c r="J56" s="5"/>
      <c r="K56" s="5">
        <v>206</v>
      </c>
      <c r="L56" s="5">
        <v>20</v>
      </c>
      <c r="M56" s="5">
        <v>3</v>
      </c>
      <c r="N56" s="5" t="s">
        <v>3</v>
      </c>
      <c r="O56" s="5">
        <v>2</v>
      </c>
      <c r="P56" s="5">
        <f>ROUND(Source!DL35,O56)</f>
        <v>0</v>
      </c>
      <c r="Q56" s="5"/>
      <c r="R56" s="5"/>
      <c r="S56" s="5"/>
      <c r="T56" s="5"/>
      <c r="U56" s="5"/>
      <c r="V56" s="5"/>
      <c r="W56" s="5"/>
    </row>
    <row r="57" spans="1:88" hidden="1" x14ac:dyDescent="0.2">
      <c r="A57" s="70">
        <v>50</v>
      </c>
      <c r="B57" s="5">
        <v>0</v>
      </c>
      <c r="C57" s="5">
        <v>0</v>
      </c>
      <c r="D57" s="5">
        <v>1</v>
      </c>
      <c r="E57" s="5">
        <v>207</v>
      </c>
      <c r="F57" s="5">
        <f>Source!U35</f>
        <v>1457.9108271</v>
      </c>
      <c r="G57" s="5" t="s">
        <v>78</v>
      </c>
      <c r="H57" s="5" t="s">
        <v>79</v>
      </c>
      <c r="I57" s="5"/>
      <c r="J57" s="5"/>
      <c r="K57" s="5">
        <v>207</v>
      </c>
      <c r="L57" s="5">
        <v>21</v>
      </c>
      <c r="M57" s="5">
        <v>3</v>
      </c>
      <c r="N57" s="5" t="s">
        <v>3</v>
      </c>
      <c r="O57" s="5">
        <v>-1</v>
      </c>
      <c r="P57" s="5">
        <f>Source!DM35</f>
        <v>1457.9108271</v>
      </c>
      <c r="Q57" s="5"/>
      <c r="R57" s="5"/>
      <c r="S57" s="5"/>
      <c r="T57" s="5"/>
      <c r="U57" s="5"/>
      <c r="V57" s="5"/>
      <c r="W57" s="5"/>
    </row>
    <row r="58" spans="1:88" hidden="1" x14ac:dyDescent="0.2">
      <c r="A58" s="70">
        <v>50</v>
      </c>
      <c r="B58" s="5">
        <v>0</v>
      </c>
      <c r="C58" s="5">
        <v>0</v>
      </c>
      <c r="D58" s="5">
        <v>1</v>
      </c>
      <c r="E58" s="5">
        <v>208</v>
      </c>
      <c r="F58" s="5">
        <f>Source!V35</f>
        <v>3.0931004999999998</v>
      </c>
      <c r="G58" s="5" t="s">
        <v>80</v>
      </c>
      <c r="H58" s="5" t="s">
        <v>81</v>
      </c>
      <c r="I58" s="5"/>
      <c r="J58" s="5"/>
      <c r="K58" s="5">
        <v>208</v>
      </c>
      <c r="L58" s="5">
        <v>22</v>
      </c>
      <c r="M58" s="5">
        <v>3</v>
      </c>
      <c r="N58" s="5" t="s">
        <v>3</v>
      </c>
      <c r="O58" s="5">
        <v>-1</v>
      </c>
      <c r="P58" s="5">
        <f>Source!DN35</f>
        <v>3.0931004999999998</v>
      </c>
      <c r="Q58" s="5"/>
      <c r="R58" s="5"/>
      <c r="S58" s="5"/>
      <c r="T58" s="5"/>
      <c r="U58" s="5"/>
      <c r="V58" s="5"/>
      <c r="W58" s="5"/>
    </row>
    <row r="59" spans="1:88" x14ac:dyDescent="0.2">
      <c r="A59" s="70">
        <v>50</v>
      </c>
      <c r="B59" s="5">
        <v>0</v>
      </c>
      <c r="C59" s="5">
        <v>0</v>
      </c>
      <c r="D59" s="5">
        <v>1</v>
      </c>
      <c r="E59" s="5">
        <v>209</v>
      </c>
      <c r="F59" s="5">
        <f>ROUND(Source!W35,O59)</f>
        <v>0</v>
      </c>
      <c r="G59" s="5" t="s">
        <v>82</v>
      </c>
      <c r="H59" s="5" t="s">
        <v>83</v>
      </c>
      <c r="I59" s="5"/>
      <c r="J59" s="5"/>
      <c r="K59" s="5">
        <v>209</v>
      </c>
      <c r="L59" s="5">
        <v>23</v>
      </c>
      <c r="M59" s="5">
        <v>3</v>
      </c>
      <c r="N59" s="5" t="s">
        <v>3</v>
      </c>
      <c r="O59" s="5">
        <v>2</v>
      </c>
      <c r="P59" s="5">
        <f>ROUND(Source!DO35,O59)</f>
        <v>0</v>
      </c>
      <c r="Q59" s="5"/>
      <c r="R59" s="5"/>
      <c r="S59" s="5"/>
      <c r="T59" s="5"/>
      <c r="U59" s="5"/>
      <c r="V59" s="5"/>
      <c r="W59" s="5"/>
    </row>
    <row r="60" spans="1:88" x14ac:dyDescent="0.2">
      <c r="A60" s="70">
        <v>50</v>
      </c>
      <c r="B60" s="5">
        <v>0</v>
      </c>
      <c r="C60" s="5">
        <v>0</v>
      </c>
      <c r="D60" s="5">
        <v>1</v>
      </c>
      <c r="E60" s="5">
        <v>210</v>
      </c>
      <c r="F60" s="5">
        <f>ROUND(Source!X35,O60)</f>
        <v>12938.38</v>
      </c>
      <c r="G60" s="5" t="s">
        <v>84</v>
      </c>
      <c r="H60" s="5" t="s">
        <v>85</v>
      </c>
      <c r="I60" s="5"/>
      <c r="J60" s="5"/>
      <c r="K60" s="5">
        <v>210</v>
      </c>
      <c r="L60" s="5">
        <v>24</v>
      </c>
      <c r="M60" s="5">
        <v>3</v>
      </c>
      <c r="N60" s="5" t="s">
        <v>3</v>
      </c>
      <c r="O60" s="5">
        <v>2</v>
      </c>
      <c r="P60" s="5">
        <f>ROUND(Source!DP35,O60)</f>
        <v>391256.36</v>
      </c>
      <c r="Q60" s="5"/>
      <c r="R60" s="5"/>
      <c r="S60" s="5"/>
      <c r="T60" s="5"/>
      <c r="U60" s="5"/>
      <c r="V60" s="5"/>
      <c r="W60" s="5"/>
    </row>
    <row r="61" spans="1:88" x14ac:dyDescent="0.2">
      <c r="A61" s="70">
        <v>50</v>
      </c>
      <c r="B61" s="5">
        <v>0</v>
      </c>
      <c r="C61" s="5">
        <v>0</v>
      </c>
      <c r="D61" s="5">
        <v>1</v>
      </c>
      <c r="E61" s="5">
        <v>211</v>
      </c>
      <c r="F61" s="5">
        <f>ROUND(Source!Y35,O61)</f>
        <v>7829.88</v>
      </c>
      <c r="G61" s="5" t="s">
        <v>86</v>
      </c>
      <c r="H61" s="5" t="s">
        <v>87</v>
      </c>
      <c r="I61" s="5"/>
      <c r="J61" s="5"/>
      <c r="K61" s="5">
        <v>211</v>
      </c>
      <c r="L61" s="5">
        <v>25</v>
      </c>
      <c r="M61" s="5">
        <v>3</v>
      </c>
      <c r="N61" s="5" t="s">
        <v>3</v>
      </c>
      <c r="O61" s="5">
        <v>2</v>
      </c>
      <c r="P61" s="5">
        <f>ROUND(Source!DQ35,O61)</f>
        <v>236775.41</v>
      </c>
      <c r="Q61" s="5"/>
      <c r="R61" s="5"/>
      <c r="S61" s="5"/>
      <c r="T61" s="5"/>
      <c r="U61" s="5"/>
      <c r="V61" s="5"/>
      <c r="W61" s="5"/>
    </row>
    <row r="62" spans="1:88" x14ac:dyDescent="0.2">
      <c r="A62" s="70">
        <v>50</v>
      </c>
      <c r="B62" s="5">
        <v>0</v>
      </c>
      <c r="C62" s="5">
        <v>0</v>
      </c>
      <c r="D62" s="5">
        <v>1</v>
      </c>
      <c r="E62" s="5">
        <v>224</v>
      </c>
      <c r="F62" s="5">
        <f>ROUND(Source!AR35,O62)</f>
        <v>32813.81</v>
      </c>
      <c r="G62" s="5" t="s">
        <v>88</v>
      </c>
      <c r="H62" s="5" t="s">
        <v>89</v>
      </c>
      <c r="I62" s="5"/>
      <c r="J62" s="5"/>
      <c r="K62" s="5">
        <v>224</v>
      </c>
      <c r="L62" s="5">
        <v>26</v>
      </c>
      <c r="M62" s="5">
        <v>3</v>
      </c>
      <c r="N62" s="5" t="s">
        <v>3</v>
      </c>
      <c r="O62" s="5">
        <v>2</v>
      </c>
      <c r="P62" s="5">
        <f>ROUND(Source!EJ35,O62)</f>
        <v>988831.04</v>
      </c>
      <c r="Q62" s="5"/>
      <c r="R62" s="5"/>
      <c r="S62" s="5"/>
      <c r="T62" s="5"/>
      <c r="U62" s="5"/>
      <c r="V62" s="5"/>
      <c r="W62" s="5"/>
    </row>
    <row r="64" spans="1:88" x14ac:dyDescent="0.2">
      <c r="A64" s="67">
        <v>4</v>
      </c>
      <c r="B64" s="1">
        <v>1</v>
      </c>
      <c r="C64" s="1"/>
      <c r="D64" s="1">
        <f>ROW(A75)</f>
        <v>75</v>
      </c>
      <c r="E64" s="1"/>
      <c r="F64" s="1" t="s">
        <v>14</v>
      </c>
      <c r="G64" s="1" t="s">
        <v>90</v>
      </c>
      <c r="H64" s="1" t="s">
        <v>3</v>
      </c>
      <c r="I64" s="1">
        <v>0</v>
      </c>
      <c r="J64" s="1"/>
      <c r="K64" s="1">
        <v>-1</v>
      </c>
      <c r="L64" s="1"/>
      <c r="M64" s="1"/>
      <c r="N64" s="1"/>
      <c r="O64" s="1"/>
      <c r="P64" s="1"/>
      <c r="Q64" s="1"/>
      <c r="R64" s="1"/>
      <c r="S64" s="1"/>
      <c r="T64" s="1"/>
      <c r="U64" s="1" t="s">
        <v>3</v>
      </c>
      <c r="V64" s="1">
        <v>0</v>
      </c>
      <c r="W64" s="1"/>
      <c r="X64" s="1"/>
      <c r="Y64" s="1"/>
      <c r="Z64" s="1"/>
      <c r="AA64" s="1"/>
      <c r="AB64" s="1" t="s">
        <v>3</v>
      </c>
      <c r="AC64" s="1" t="s">
        <v>3</v>
      </c>
      <c r="AD64" s="1" t="s">
        <v>3</v>
      </c>
      <c r="AE64" s="1" t="s">
        <v>3</v>
      </c>
      <c r="AF64" s="1" t="s">
        <v>3</v>
      </c>
      <c r="AG64" s="1" t="s">
        <v>3</v>
      </c>
      <c r="AH64" s="1"/>
      <c r="AI64" s="1"/>
      <c r="AJ64" s="1"/>
      <c r="AK64" s="1"/>
      <c r="AL64" s="1"/>
      <c r="AM64" s="1"/>
      <c r="AN64" s="1"/>
      <c r="AO64" s="1"/>
      <c r="AP64" s="1" t="s">
        <v>3</v>
      </c>
      <c r="AQ64" s="1" t="s">
        <v>3</v>
      </c>
      <c r="AR64" s="1" t="s">
        <v>3</v>
      </c>
      <c r="AS64" s="1"/>
      <c r="AT64" s="1"/>
      <c r="AU64" s="1"/>
      <c r="AV64" s="1"/>
      <c r="AW64" s="1"/>
      <c r="AX64" s="1"/>
      <c r="AY64" s="1"/>
      <c r="AZ64" s="1" t="s">
        <v>3</v>
      </c>
      <c r="BA64" s="1"/>
      <c r="BB64" s="1" t="s">
        <v>3</v>
      </c>
      <c r="BC64" s="1" t="s">
        <v>3</v>
      </c>
      <c r="BD64" s="1" t="s">
        <v>3</v>
      </c>
      <c r="BE64" s="1" t="s">
        <v>3</v>
      </c>
      <c r="BF64" s="1" t="s">
        <v>3</v>
      </c>
      <c r="BG64" s="1" t="s">
        <v>3</v>
      </c>
      <c r="BH64" s="1" t="s">
        <v>3</v>
      </c>
      <c r="BI64" s="1" t="s">
        <v>3</v>
      </c>
      <c r="BJ64" s="1" t="s">
        <v>3</v>
      </c>
      <c r="BK64" s="1" t="s">
        <v>3</v>
      </c>
      <c r="BL64" s="1" t="s">
        <v>3</v>
      </c>
      <c r="BM64" s="1" t="s">
        <v>3</v>
      </c>
      <c r="BN64" s="1" t="s">
        <v>3</v>
      </c>
      <c r="BO64" s="1" t="s">
        <v>3</v>
      </c>
      <c r="BP64" s="1" t="s">
        <v>3</v>
      </c>
      <c r="BQ64" s="1"/>
      <c r="BR64" s="1"/>
      <c r="BS64" s="1"/>
      <c r="BT64" s="1"/>
      <c r="BU64" s="1"/>
      <c r="BV64" s="1"/>
      <c r="BW64" s="1"/>
      <c r="BX64" s="1">
        <v>0</v>
      </c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0</v>
      </c>
    </row>
    <row r="66" spans="1:255" x14ac:dyDescent="0.2">
      <c r="A66" s="68">
        <v>52</v>
      </c>
      <c r="B66" s="3">
        <f t="shared" ref="B66:G66" si="54">B75</f>
        <v>1</v>
      </c>
      <c r="C66" s="3">
        <f t="shared" si="54"/>
        <v>4</v>
      </c>
      <c r="D66" s="3">
        <f t="shared" si="54"/>
        <v>64</v>
      </c>
      <c r="E66" s="3">
        <f t="shared" si="54"/>
        <v>0</v>
      </c>
      <c r="F66" s="3" t="str">
        <f t="shared" si="54"/>
        <v>Новый раздел</v>
      </c>
      <c r="G66" s="3" t="str">
        <f t="shared" si="54"/>
        <v>№2 Потолки.</v>
      </c>
      <c r="H66" s="3"/>
      <c r="I66" s="3"/>
      <c r="J66" s="3"/>
      <c r="K66" s="3"/>
      <c r="L66" s="3"/>
      <c r="M66" s="3"/>
      <c r="N66" s="3"/>
      <c r="O66" s="3">
        <f t="shared" ref="O66:AT66" si="55">O75</f>
        <v>2225.12</v>
      </c>
      <c r="P66" s="3">
        <f t="shared" si="55"/>
        <v>0</v>
      </c>
      <c r="Q66" s="3">
        <f t="shared" si="55"/>
        <v>30.64</v>
      </c>
      <c r="R66" s="3">
        <f t="shared" si="55"/>
        <v>6.97</v>
      </c>
      <c r="S66" s="3">
        <f t="shared" si="55"/>
        <v>2194.48</v>
      </c>
      <c r="T66" s="3">
        <f t="shared" si="55"/>
        <v>0</v>
      </c>
      <c r="U66" s="3">
        <f t="shared" si="55"/>
        <v>269.31319506</v>
      </c>
      <c r="V66" s="3">
        <f t="shared" si="55"/>
        <v>0.57137429999999989</v>
      </c>
      <c r="W66" s="3">
        <f t="shared" si="55"/>
        <v>0</v>
      </c>
      <c r="X66" s="3">
        <f t="shared" si="55"/>
        <v>2390.0500000000002</v>
      </c>
      <c r="Y66" s="3">
        <f t="shared" si="55"/>
        <v>1446.38</v>
      </c>
      <c r="Z66" s="3">
        <f t="shared" si="55"/>
        <v>0</v>
      </c>
      <c r="AA66" s="3">
        <f t="shared" si="55"/>
        <v>0</v>
      </c>
      <c r="AB66" s="3">
        <f t="shared" si="55"/>
        <v>2225.12</v>
      </c>
      <c r="AC66" s="3">
        <f t="shared" si="55"/>
        <v>0</v>
      </c>
      <c r="AD66" s="3">
        <f t="shared" si="55"/>
        <v>30.64</v>
      </c>
      <c r="AE66" s="3">
        <f t="shared" si="55"/>
        <v>6.97</v>
      </c>
      <c r="AF66" s="3">
        <f t="shared" si="55"/>
        <v>2194.48</v>
      </c>
      <c r="AG66" s="3">
        <f t="shared" si="55"/>
        <v>0</v>
      </c>
      <c r="AH66" s="3">
        <f t="shared" si="55"/>
        <v>269.31319506</v>
      </c>
      <c r="AI66" s="3">
        <f t="shared" si="55"/>
        <v>0.57137429999999989</v>
      </c>
      <c r="AJ66" s="3">
        <f t="shared" si="55"/>
        <v>0</v>
      </c>
      <c r="AK66" s="3">
        <f t="shared" si="55"/>
        <v>2390.0500000000002</v>
      </c>
      <c r="AL66" s="3">
        <f t="shared" si="55"/>
        <v>1446.38</v>
      </c>
      <c r="AM66" s="3">
        <f t="shared" si="55"/>
        <v>0</v>
      </c>
      <c r="AN66" s="3">
        <f t="shared" si="55"/>
        <v>0</v>
      </c>
      <c r="AO66" s="3">
        <f t="shared" si="55"/>
        <v>0</v>
      </c>
      <c r="AP66" s="3">
        <f t="shared" si="55"/>
        <v>0</v>
      </c>
      <c r="AQ66" s="3">
        <f t="shared" si="55"/>
        <v>0</v>
      </c>
      <c r="AR66" s="3">
        <f t="shared" si="55"/>
        <v>6061.55</v>
      </c>
      <c r="AS66" s="3">
        <f t="shared" si="55"/>
        <v>6061.55</v>
      </c>
      <c r="AT66" s="3">
        <f t="shared" si="55"/>
        <v>0</v>
      </c>
      <c r="AU66" s="3">
        <f t="shared" ref="AU66:BZ66" si="56">AU75</f>
        <v>0</v>
      </c>
      <c r="AV66" s="3">
        <f t="shared" si="56"/>
        <v>0</v>
      </c>
      <c r="AW66" s="3">
        <f t="shared" si="56"/>
        <v>0</v>
      </c>
      <c r="AX66" s="3">
        <f t="shared" si="56"/>
        <v>0</v>
      </c>
      <c r="AY66" s="3">
        <f t="shared" si="56"/>
        <v>0</v>
      </c>
      <c r="AZ66" s="3">
        <f t="shared" si="56"/>
        <v>0</v>
      </c>
      <c r="BA66" s="3">
        <f t="shared" si="56"/>
        <v>0</v>
      </c>
      <c r="BB66" s="3">
        <f t="shared" si="56"/>
        <v>0</v>
      </c>
      <c r="BC66" s="3">
        <f t="shared" si="56"/>
        <v>0</v>
      </c>
      <c r="BD66" s="3">
        <f t="shared" si="56"/>
        <v>0</v>
      </c>
      <c r="BE66" s="3">
        <f t="shared" si="56"/>
        <v>0</v>
      </c>
      <c r="BF66" s="3">
        <f t="shared" si="56"/>
        <v>0</v>
      </c>
      <c r="BG66" s="3">
        <f t="shared" si="56"/>
        <v>0</v>
      </c>
      <c r="BH66" s="3">
        <f t="shared" si="56"/>
        <v>0</v>
      </c>
      <c r="BI66" s="3">
        <f t="shared" si="56"/>
        <v>0</v>
      </c>
      <c r="BJ66" s="3">
        <f t="shared" si="56"/>
        <v>0</v>
      </c>
      <c r="BK66" s="3">
        <f t="shared" si="56"/>
        <v>0</v>
      </c>
      <c r="BL66" s="3">
        <f t="shared" si="56"/>
        <v>0</v>
      </c>
      <c r="BM66" s="3">
        <f t="shared" si="56"/>
        <v>0</v>
      </c>
      <c r="BN66" s="3">
        <f t="shared" si="56"/>
        <v>0</v>
      </c>
      <c r="BO66" s="3">
        <f t="shared" si="56"/>
        <v>0</v>
      </c>
      <c r="BP66" s="3">
        <f t="shared" si="56"/>
        <v>0</v>
      </c>
      <c r="BQ66" s="3">
        <f t="shared" si="56"/>
        <v>0</v>
      </c>
      <c r="BR66" s="3">
        <f t="shared" si="56"/>
        <v>0</v>
      </c>
      <c r="BS66" s="3">
        <f t="shared" si="56"/>
        <v>0</v>
      </c>
      <c r="BT66" s="3">
        <f t="shared" si="56"/>
        <v>0</v>
      </c>
      <c r="BU66" s="3">
        <f t="shared" si="56"/>
        <v>0</v>
      </c>
      <c r="BV66" s="3">
        <f t="shared" si="56"/>
        <v>0</v>
      </c>
      <c r="BW66" s="3">
        <f t="shared" si="56"/>
        <v>0</v>
      </c>
      <c r="BX66" s="3">
        <f t="shared" si="56"/>
        <v>0</v>
      </c>
      <c r="BY66" s="3">
        <f t="shared" si="56"/>
        <v>0</v>
      </c>
      <c r="BZ66" s="3">
        <f t="shared" si="56"/>
        <v>0</v>
      </c>
      <c r="CA66" s="3">
        <f t="shared" ref="CA66:DF66" si="57">CA75</f>
        <v>6061.55</v>
      </c>
      <c r="CB66" s="3">
        <f t="shared" si="57"/>
        <v>6061.55</v>
      </c>
      <c r="CC66" s="3">
        <f t="shared" si="57"/>
        <v>0</v>
      </c>
      <c r="CD66" s="3">
        <f t="shared" si="57"/>
        <v>0</v>
      </c>
      <c r="CE66" s="3">
        <f t="shared" si="57"/>
        <v>0</v>
      </c>
      <c r="CF66" s="3">
        <f t="shared" si="57"/>
        <v>0</v>
      </c>
      <c r="CG66" s="3">
        <f t="shared" si="57"/>
        <v>0</v>
      </c>
      <c r="CH66" s="3">
        <f t="shared" si="57"/>
        <v>0</v>
      </c>
      <c r="CI66" s="3">
        <f t="shared" si="57"/>
        <v>0</v>
      </c>
      <c r="CJ66" s="3">
        <f t="shared" si="57"/>
        <v>0</v>
      </c>
      <c r="CK66" s="3">
        <f t="shared" si="57"/>
        <v>0</v>
      </c>
      <c r="CL66" s="3">
        <f t="shared" si="57"/>
        <v>0</v>
      </c>
      <c r="CM66" s="3">
        <f t="shared" si="57"/>
        <v>0</v>
      </c>
      <c r="CN66" s="3">
        <f t="shared" si="57"/>
        <v>0</v>
      </c>
      <c r="CO66" s="3">
        <f t="shared" si="57"/>
        <v>0</v>
      </c>
      <c r="CP66" s="3">
        <f t="shared" si="57"/>
        <v>0</v>
      </c>
      <c r="CQ66" s="3">
        <f t="shared" si="57"/>
        <v>0</v>
      </c>
      <c r="CR66" s="3">
        <f t="shared" si="57"/>
        <v>0</v>
      </c>
      <c r="CS66" s="3">
        <f t="shared" si="57"/>
        <v>0</v>
      </c>
      <c r="CT66" s="3">
        <f t="shared" si="57"/>
        <v>0</v>
      </c>
      <c r="CU66" s="3">
        <f t="shared" si="57"/>
        <v>0</v>
      </c>
      <c r="CV66" s="3">
        <f t="shared" si="57"/>
        <v>0</v>
      </c>
      <c r="CW66" s="3">
        <f t="shared" si="57"/>
        <v>0</v>
      </c>
      <c r="CX66" s="3">
        <f t="shared" si="57"/>
        <v>0</v>
      </c>
      <c r="CY66" s="3">
        <f t="shared" si="57"/>
        <v>0</v>
      </c>
      <c r="CZ66" s="3">
        <f t="shared" si="57"/>
        <v>0</v>
      </c>
      <c r="DA66" s="3">
        <f t="shared" si="57"/>
        <v>0</v>
      </c>
      <c r="DB66" s="3">
        <f t="shared" si="57"/>
        <v>0</v>
      </c>
      <c r="DC66" s="3">
        <f t="shared" si="57"/>
        <v>0</v>
      </c>
      <c r="DD66" s="3">
        <f t="shared" si="57"/>
        <v>0</v>
      </c>
      <c r="DE66" s="3">
        <f t="shared" si="57"/>
        <v>0</v>
      </c>
      <c r="DF66" s="3">
        <f t="shared" si="57"/>
        <v>0</v>
      </c>
      <c r="DG66" s="4">
        <f t="shared" ref="DG66:EL66" si="58">DG75</f>
        <v>66648.800000000003</v>
      </c>
      <c r="DH66" s="4">
        <f t="shared" si="58"/>
        <v>0</v>
      </c>
      <c r="DI66" s="4">
        <f t="shared" si="58"/>
        <v>287.68</v>
      </c>
      <c r="DJ66" s="4">
        <f t="shared" si="58"/>
        <v>210.63</v>
      </c>
      <c r="DK66" s="4">
        <f t="shared" si="58"/>
        <v>66361.119999999995</v>
      </c>
      <c r="DL66" s="4">
        <f t="shared" si="58"/>
        <v>0</v>
      </c>
      <c r="DM66" s="4">
        <f t="shared" si="58"/>
        <v>269.31319506</v>
      </c>
      <c r="DN66" s="4">
        <f t="shared" si="58"/>
        <v>0.57137429999999989</v>
      </c>
      <c r="DO66" s="4">
        <f t="shared" si="58"/>
        <v>0</v>
      </c>
      <c r="DP66" s="4">
        <f t="shared" si="58"/>
        <v>72275</v>
      </c>
      <c r="DQ66" s="4">
        <f t="shared" si="58"/>
        <v>43738.44</v>
      </c>
      <c r="DR66" s="4">
        <f t="shared" si="58"/>
        <v>0</v>
      </c>
      <c r="DS66" s="4">
        <f t="shared" si="58"/>
        <v>0</v>
      </c>
      <c r="DT66" s="4">
        <f t="shared" si="58"/>
        <v>66648.800000000003</v>
      </c>
      <c r="DU66" s="4">
        <f t="shared" si="58"/>
        <v>0</v>
      </c>
      <c r="DV66" s="4">
        <f t="shared" si="58"/>
        <v>287.68</v>
      </c>
      <c r="DW66" s="4">
        <f t="shared" si="58"/>
        <v>210.63</v>
      </c>
      <c r="DX66" s="4">
        <f t="shared" si="58"/>
        <v>66361.119999999995</v>
      </c>
      <c r="DY66" s="4">
        <f t="shared" si="58"/>
        <v>0</v>
      </c>
      <c r="DZ66" s="4">
        <f t="shared" si="58"/>
        <v>269.31319506</v>
      </c>
      <c r="EA66" s="4">
        <f t="shared" si="58"/>
        <v>0.57137429999999989</v>
      </c>
      <c r="EB66" s="4">
        <f t="shared" si="58"/>
        <v>0</v>
      </c>
      <c r="EC66" s="4">
        <f t="shared" si="58"/>
        <v>72275</v>
      </c>
      <c r="ED66" s="4">
        <f t="shared" si="58"/>
        <v>43738.44</v>
      </c>
      <c r="EE66" s="4">
        <f t="shared" si="58"/>
        <v>0</v>
      </c>
      <c r="EF66" s="4">
        <f t="shared" si="58"/>
        <v>0</v>
      </c>
      <c r="EG66" s="4">
        <f t="shared" si="58"/>
        <v>0</v>
      </c>
      <c r="EH66" s="4">
        <f t="shared" si="58"/>
        <v>0</v>
      </c>
      <c r="EI66" s="4">
        <f t="shared" si="58"/>
        <v>0</v>
      </c>
      <c r="EJ66" s="4">
        <f t="shared" si="58"/>
        <v>182662.24</v>
      </c>
      <c r="EK66" s="4">
        <f t="shared" si="58"/>
        <v>182662.24</v>
      </c>
      <c r="EL66" s="4">
        <f t="shared" si="58"/>
        <v>0</v>
      </c>
      <c r="EM66" s="4">
        <f t="shared" ref="EM66:FR66" si="59">EM75</f>
        <v>0</v>
      </c>
      <c r="EN66" s="4">
        <f t="shared" si="59"/>
        <v>0</v>
      </c>
      <c r="EO66" s="4">
        <f t="shared" si="59"/>
        <v>0</v>
      </c>
      <c r="EP66" s="4">
        <f t="shared" si="59"/>
        <v>0</v>
      </c>
      <c r="EQ66" s="4">
        <f t="shared" si="59"/>
        <v>0</v>
      </c>
      <c r="ER66" s="4">
        <f t="shared" si="59"/>
        <v>0</v>
      </c>
      <c r="ES66" s="4">
        <f t="shared" si="59"/>
        <v>0</v>
      </c>
      <c r="ET66" s="4">
        <f t="shared" si="59"/>
        <v>0</v>
      </c>
      <c r="EU66" s="4">
        <f t="shared" si="59"/>
        <v>0</v>
      </c>
      <c r="EV66" s="4">
        <f t="shared" si="59"/>
        <v>0</v>
      </c>
      <c r="EW66" s="4">
        <f t="shared" si="59"/>
        <v>0</v>
      </c>
      <c r="EX66" s="4">
        <f t="shared" si="59"/>
        <v>0</v>
      </c>
      <c r="EY66" s="4">
        <f t="shared" si="59"/>
        <v>0</v>
      </c>
      <c r="EZ66" s="4">
        <f t="shared" si="59"/>
        <v>0</v>
      </c>
      <c r="FA66" s="4">
        <f t="shared" si="59"/>
        <v>0</v>
      </c>
      <c r="FB66" s="4">
        <f t="shared" si="59"/>
        <v>0</v>
      </c>
      <c r="FC66" s="4">
        <f t="shared" si="59"/>
        <v>0</v>
      </c>
      <c r="FD66" s="4">
        <f t="shared" si="59"/>
        <v>0</v>
      </c>
      <c r="FE66" s="4">
        <f t="shared" si="59"/>
        <v>0</v>
      </c>
      <c r="FF66" s="4">
        <f t="shared" si="59"/>
        <v>0</v>
      </c>
      <c r="FG66" s="4">
        <f t="shared" si="59"/>
        <v>0</v>
      </c>
      <c r="FH66" s="4">
        <f t="shared" si="59"/>
        <v>0</v>
      </c>
      <c r="FI66" s="4">
        <f t="shared" si="59"/>
        <v>0</v>
      </c>
      <c r="FJ66" s="4">
        <f t="shared" si="59"/>
        <v>0</v>
      </c>
      <c r="FK66" s="4">
        <f t="shared" si="59"/>
        <v>0</v>
      </c>
      <c r="FL66" s="4">
        <f t="shared" si="59"/>
        <v>0</v>
      </c>
      <c r="FM66" s="4">
        <f t="shared" si="59"/>
        <v>0</v>
      </c>
      <c r="FN66" s="4">
        <f t="shared" si="59"/>
        <v>0</v>
      </c>
      <c r="FO66" s="4">
        <f t="shared" si="59"/>
        <v>0</v>
      </c>
      <c r="FP66" s="4">
        <f t="shared" si="59"/>
        <v>0</v>
      </c>
      <c r="FQ66" s="4">
        <f t="shared" si="59"/>
        <v>0</v>
      </c>
      <c r="FR66" s="4">
        <f t="shared" si="59"/>
        <v>0</v>
      </c>
      <c r="FS66" s="4">
        <f t="shared" ref="FS66:GX66" si="60">FS75</f>
        <v>182662.24</v>
      </c>
      <c r="FT66" s="4">
        <f t="shared" si="60"/>
        <v>182662.24</v>
      </c>
      <c r="FU66" s="4">
        <f t="shared" si="60"/>
        <v>0</v>
      </c>
      <c r="FV66" s="4">
        <f t="shared" si="60"/>
        <v>0</v>
      </c>
      <c r="FW66" s="4">
        <f t="shared" si="60"/>
        <v>0</v>
      </c>
      <c r="FX66" s="4">
        <f t="shared" si="60"/>
        <v>0</v>
      </c>
      <c r="FY66" s="4">
        <f t="shared" si="60"/>
        <v>0</v>
      </c>
      <c r="FZ66" s="4">
        <f t="shared" si="60"/>
        <v>0</v>
      </c>
      <c r="GA66" s="4">
        <f t="shared" si="60"/>
        <v>0</v>
      </c>
      <c r="GB66" s="4">
        <f t="shared" si="60"/>
        <v>0</v>
      </c>
      <c r="GC66" s="4">
        <f t="shared" si="60"/>
        <v>0</v>
      </c>
      <c r="GD66" s="4">
        <f t="shared" si="60"/>
        <v>0</v>
      </c>
      <c r="GE66" s="4">
        <f t="shared" si="60"/>
        <v>0</v>
      </c>
      <c r="GF66" s="4">
        <f t="shared" si="60"/>
        <v>0</v>
      </c>
      <c r="GG66" s="4">
        <f t="shared" si="60"/>
        <v>0</v>
      </c>
      <c r="GH66" s="4">
        <f t="shared" si="60"/>
        <v>0</v>
      </c>
      <c r="GI66" s="4">
        <f t="shared" si="60"/>
        <v>0</v>
      </c>
      <c r="GJ66" s="4">
        <f t="shared" si="60"/>
        <v>0</v>
      </c>
      <c r="GK66" s="4">
        <f t="shared" si="60"/>
        <v>0</v>
      </c>
      <c r="GL66" s="4">
        <f t="shared" si="60"/>
        <v>0</v>
      </c>
      <c r="GM66" s="4">
        <f t="shared" si="60"/>
        <v>0</v>
      </c>
      <c r="GN66" s="4">
        <f t="shared" si="60"/>
        <v>0</v>
      </c>
      <c r="GO66" s="4">
        <f t="shared" si="60"/>
        <v>0</v>
      </c>
      <c r="GP66" s="4">
        <f t="shared" si="60"/>
        <v>0</v>
      </c>
      <c r="GQ66" s="4">
        <f t="shared" si="60"/>
        <v>0</v>
      </c>
      <c r="GR66" s="4">
        <f t="shared" si="60"/>
        <v>0</v>
      </c>
      <c r="GS66" s="4">
        <f t="shared" si="60"/>
        <v>0</v>
      </c>
      <c r="GT66" s="4">
        <f t="shared" si="60"/>
        <v>0</v>
      </c>
      <c r="GU66" s="4">
        <f t="shared" si="60"/>
        <v>0</v>
      </c>
      <c r="GV66" s="4">
        <f t="shared" si="60"/>
        <v>0</v>
      </c>
      <c r="GW66" s="4">
        <f t="shared" si="60"/>
        <v>0</v>
      </c>
      <c r="GX66" s="4">
        <f t="shared" si="60"/>
        <v>0</v>
      </c>
    </row>
    <row r="68" spans="1:255" x14ac:dyDescent="0.2">
      <c r="A68" s="69">
        <v>17</v>
      </c>
      <c r="B68" s="2">
        <v>1</v>
      </c>
      <c r="C68" s="2">
        <f>ROW(SmtRes!A17)</f>
        <v>17</v>
      </c>
      <c r="D68" s="2">
        <f>ROW(EtalonRes!A17)</f>
        <v>17</v>
      </c>
      <c r="E68" s="69" t="s">
        <v>3</v>
      </c>
      <c r="F68" s="2" t="s">
        <v>16</v>
      </c>
      <c r="G68" s="2" t="s">
        <v>17</v>
      </c>
      <c r="H68" s="2" t="s">
        <v>18</v>
      </c>
      <c r="I68" s="2">
        <f>ROUND(388.69/100,9)</f>
        <v>3.8868999999999998</v>
      </c>
      <c r="J68" s="2">
        <v>0</v>
      </c>
      <c r="K68" s="2"/>
      <c r="L68" s="2"/>
      <c r="M68" s="2"/>
      <c r="N68" s="2"/>
      <c r="O68" s="2">
        <f t="shared" ref="O68:O73" si="61">ROUND(CP68,2)</f>
        <v>895</v>
      </c>
      <c r="P68" s="2">
        <f t="shared" ref="P68:P73" si="62">ROUND(CQ68*I68,2)</f>
        <v>0</v>
      </c>
      <c r="Q68" s="2">
        <f t="shared" ref="Q68:Q73" si="63">ROUND(CR68*I68,2)</f>
        <v>0</v>
      </c>
      <c r="R68" s="2">
        <f t="shared" ref="R68:R73" si="64">ROUND(CS68*I68,2)</f>
        <v>0</v>
      </c>
      <c r="S68" s="2">
        <f t="shared" ref="S68:S73" si="65">ROUND(CT68*I68,2)</f>
        <v>895</v>
      </c>
      <c r="T68" s="2">
        <f t="shared" ref="T68:T73" si="66">ROUND(CU68*I68,2)</f>
        <v>0</v>
      </c>
      <c r="U68" s="2">
        <f t="shared" ref="U68:U73" si="67">CV68*I68</f>
        <v>114.741288</v>
      </c>
      <c r="V68" s="2">
        <f t="shared" ref="V68:V73" si="68">CW68*I68</f>
        <v>0</v>
      </c>
      <c r="W68" s="2">
        <f t="shared" ref="W68:W73" si="69">ROUND(CX68*I68,2)</f>
        <v>0</v>
      </c>
      <c r="X68" s="2">
        <f t="shared" ref="X68:Y73" si="70">ROUND(CY68,2)</f>
        <v>984.5</v>
      </c>
      <c r="Y68" s="2">
        <f t="shared" si="70"/>
        <v>626.5</v>
      </c>
      <c r="Z68" s="2"/>
      <c r="AA68" s="2">
        <v>-1</v>
      </c>
      <c r="AB68" s="2">
        <f t="shared" ref="AB68:AB73" si="71">ROUND((AC68+AD68+AF68),6)</f>
        <v>230.26</v>
      </c>
      <c r="AC68" s="2">
        <f>ROUND((ES68),6)</f>
        <v>0</v>
      </c>
      <c r="AD68" s="2">
        <f>ROUND((((ET68)-(EU68))+AE68),6)</f>
        <v>0</v>
      </c>
      <c r="AE68" s="2">
        <f>ROUND((EU68),6)</f>
        <v>0</v>
      </c>
      <c r="AF68" s="2">
        <f>ROUND((EV68),6)</f>
        <v>230.26</v>
      </c>
      <c r="AG68" s="2">
        <f t="shared" ref="AG68:AG73" si="72">ROUND((AP68),6)</f>
        <v>0</v>
      </c>
      <c r="AH68" s="2">
        <f>(EW68)</f>
        <v>29.52</v>
      </c>
      <c r="AI68" s="2">
        <f>(EX68)</f>
        <v>0</v>
      </c>
      <c r="AJ68" s="2">
        <f t="shared" ref="AJ68:AJ73" si="73">(AS68)</f>
        <v>0</v>
      </c>
      <c r="AK68" s="2">
        <v>230.26</v>
      </c>
      <c r="AL68" s="2">
        <v>0</v>
      </c>
      <c r="AM68" s="2">
        <v>0</v>
      </c>
      <c r="AN68" s="2">
        <v>0</v>
      </c>
      <c r="AO68" s="2">
        <v>230.26</v>
      </c>
      <c r="AP68" s="2">
        <v>0</v>
      </c>
      <c r="AQ68" s="2">
        <v>29.52</v>
      </c>
      <c r="AR68" s="2">
        <v>0</v>
      </c>
      <c r="AS68" s="2">
        <v>0</v>
      </c>
      <c r="AT68" s="2">
        <v>110</v>
      </c>
      <c r="AU68" s="2">
        <v>70</v>
      </c>
      <c r="AV68" s="2">
        <v>1</v>
      </c>
      <c r="AW68" s="2">
        <v>1</v>
      </c>
      <c r="AX68" s="2"/>
      <c r="AY68" s="2"/>
      <c r="AZ68" s="2">
        <v>1</v>
      </c>
      <c r="BA68" s="2">
        <v>1</v>
      </c>
      <c r="BB68" s="2">
        <v>1</v>
      </c>
      <c r="BC68" s="2">
        <v>1</v>
      </c>
      <c r="BD68" s="2" t="s">
        <v>3</v>
      </c>
      <c r="BE68" s="2" t="s">
        <v>3</v>
      </c>
      <c r="BF68" s="2" t="s">
        <v>3</v>
      </c>
      <c r="BG68" s="2" t="s">
        <v>3</v>
      </c>
      <c r="BH68" s="2">
        <v>0</v>
      </c>
      <c r="BI68" s="2">
        <v>1</v>
      </c>
      <c r="BJ68" s="2" t="s">
        <v>19</v>
      </c>
      <c r="BK68" s="2"/>
      <c r="BL68" s="2"/>
      <c r="BM68" s="2">
        <v>46001</v>
      </c>
      <c r="BN68" s="2">
        <v>0</v>
      </c>
      <c r="BO68" s="2" t="s">
        <v>3</v>
      </c>
      <c r="BP68" s="2">
        <v>0</v>
      </c>
      <c r="BQ68" s="2">
        <v>2</v>
      </c>
      <c r="BR68" s="2">
        <v>0</v>
      </c>
      <c r="BS68" s="2">
        <v>1</v>
      </c>
      <c r="BT68" s="2">
        <v>1</v>
      </c>
      <c r="BU68" s="2">
        <v>1</v>
      </c>
      <c r="BV68" s="2">
        <v>1</v>
      </c>
      <c r="BW68" s="2">
        <v>1</v>
      </c>
      <c r="BX68" s="2">
        <v>1</v>
      </c>
      <c r="BY68" s="2" t="s">
        <v>3</v>
      </c>
      <c r="BZ68" s="2">
        <v>110</v>
      </c>
      <c r="CA68" s="2">
        <v>70</v>
      </c>
      <c r="CB68" s="2"/>
      <c r="CC68" s="2"/>
      <c r="CD68" s="2"/>
      <c r="CE68" s="2">
        <v>0</v>
      </c>
      <c r="CF68" s="2">
        <v>0</v>
      </c>
      <c r="CG68" s="2">
        <v>0</v>
      </c>
      <c r="CH68" s="2"/>
      <c r="CI68" s="2"/>
      <c r="CJ68" s="2"/>
      <c r="CK68" s="2"/>
      <c r="CL68" s="2"/>
      <c r="CM68" s="2">
        <v>0</v>
      </c>
      <c r="CN68" s="2" t="s">
        <v>3</v>
      </c>
      <c r="CO68" s="2">
        <v>0</v>
      </c>
      <c r="CP68" s="2">
        <f t="shared" ref="CP68:CP73" si="74">(P68+Q68+S68)</f>
        <v>895</v>
      </c>
      <c r="CQ68" s="2">
        <f t="shared" ref="CQ68:CQ73" si="75">AC68*BC68</f>
        <v>0</v>
      </c>
      <c r="CR68" s="2">
        <f t="shared" ref="CR68:CR73" si="76">AD68*BB68</f>
        <v>0</v>
      </c>
      <c r="CS68" s="2">
        <f t="shared" ref="CS68:CS73" si="77">AE68*BS68</f>
        <v>0</v>
      </c>
      <c r="CT68" s="2">
        <f t="shared" ref="CT68:CT73" si="78">AF68*BA68</f>
        <v>230.26</v>
      </c>
      <c r="CU68" s="2">
        <f t="shared" ref="CU68:CX73" si="79">AG68</f>
        <v>0</v>
      </c>
      <c r="CV68" s="2">
        <f t="shared" si="79"/>
        <v>29.52</v>
      </c>
      <c r="CW68" s="2">
        <f t="shared" si="79"/>
        <v>0</v>
      </c>
      <c r="CX68" s="2">
        <f t="shared" si="79"/>
        <v>0</v>
      </c>
      <c r="CY68" s="2">
        <f t="shared" ref="CY68:CY73" si="80">(((S68+R68)*AT68)/100)</f>
        <v>984.5</v>
      </c>
      <c r="CZ68" s="2">
        <f t="shared" ref="CZ68:CZ73" si="81">(((S68+R68)*AU68)/100)</f>
        <v>626.5</v>
      </c>
      <c r="DA68" s="2"/>
      <c r="DB68" s="2"/>
      <c r="DC68" s="2" t="s">
        <v>3</v>
      </c>
      <c r="DD68" s="2" t="s">
        <v>3</v>
      </c>
      <c r="DE68" s="2" t="s">
        <v>3</v>
      </c>
      <c r="DF68" s="2" t="s">
        <v>3</v>
      </c>
      <c r="DG68" s="2" t="s">
        <v>3</v>
      </c>
      <c r="DH68" s="2" t="s">
        <v>3</v>
      </c>
      <c r="DI68" s="2" t="s">
        <v>3</v>
      </c>
      <c r="DJ68" s="2" t="s">
        <v>3</v>
      </c>
      <c r="DK68" s="2" t="s">
        <v>3</v>
      </c>
      <c r="DL68" s="2" t="s">
        <v>3</v>
      </c>
      <c r="DM68" s="2" t="s">
        <v>3</v>
      </c>
      <c r="DN68" s="2">
        <v>0</v>
      </c>
      <c r="DO68" s="2">
        <v>0</v>
      </c>
      <c r="DP68" s="2">
        <v>1</v>
      </c>
      <c r="DQ68" s="2">
        <v>1</v>
      </c>
      <c r="DR68" s="2"/>
      <c r="DS68" s="2"/>
      <c r="DT68" s="2"/>
      <c r="DU68" s="2">
        <v>1005</v>
      </c>
      <c r="DV68" s="2" t="s">
        <v>18</v>
      </c>
      <c r="DW68" s="2" t="s">
        <v>18</v>
      </c>
      <c r="DX68" s="2">
        <v>100</v>
      </c>
      <c r="DY68" s="2"/>
      <c r="DZ68" s="2"/>
      <c r="EA68" s="2"/>
      <c r="EB68" s="2"/>
      <c r="EC68" s="2"/>
      <c r="ED68" s="2"/>
      <c r="EE68" s="2">
        <v>49155166</v>
      </c>
      <c r="EF68" s="2">
        <v>2</v>
      </c>
      <c r="EG68" s="2" t="s">
        <v>20</v>
      </c>
      <c r="EH68" s="2">
        <v>0</v>
      </c>
      <c r="EI68" s="2" t="s">
        <v>3</v>
      </c>
      <c r="EJ68" s="2">
        <v>1</v>
      </c>
      <c r="EK68" s="2">
        <v>46001</v>
      </c>
      <c r="EL68" s="2" t="s">
        <v>21</v>
      </c>
      <c r="EM68" s="2" t="s">
        <v>22</v>
      </c>
      <c r="EN68" s="2"/>
      <c r="EO68" s="2" t="s">
        <v>3</v>
      </c>
      <c r="EP68" s="2"/>
      <c r="EQ68" s="2">
        <v>132096</v>
      </c>
      <c r="ER68" s="2">
        <v>230.26</v>
      </c>
      <c r="ES68" s="2">
        <v>0</v>
      </c>
      <c r="ET68" s="2">
        <v>0</v>
      </c>
      <c r="EU68" s="2">
        <v>0</v>
      </c>
      <c r="EV68" s="2">
        <v>230.26</v>
      </c>
      <c r="EW68" s="2">
        <v>29.52</v>
      </c>
      <c r="EX68" s="2">
        <v>0</v>
      </c>
      <c r="EY68" s="2">
        <v>0</v>
      </c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>
        <v>0</v>
      </c>
      <c r="FR68" s="2">
        <f t="shared" ref="FR68:FR73" si="82">ROUND(IF(AND(BH68=3,BI68=3),P68,0),2)</f>
        <v>0</v>
      </c>
      <c r="FS68" s="2">
        <v>0</v>
      </c>
      <c r="FT68" s="2"/>
      <c r="FU68" s="2"/>
      <c r="FV68" s="2"/>
      <c r="FW68" s="2"/>
      <c r="FX68" s="2">
        <v>110</v>
      </c>
      <c r="FY68" s="2">
        <v>70</v>
      </c>
      <c r="FZ68" s="2"/>
      <c r="GA68" s="2" t="s">
        <v>3</v>
      </c>
      <c r="GB68" s="2"/>
      <c r="GC68" s="2"/>
      <c r="GD68" s="2">
        <v>1</v>
      </c>
      <c r="GE68" s="2"/>
      <c r="GF68" s="2">
        <v>2139255638</v>
      </c>
      <c r="GG68" s="2">
        <v>2</v>
      </c>
      <c r="GH68" s="2">
        <v>1</v>
      </c>
      <c r="GI68" s="2">
        <v>-2</v>
      </c>
      <c r="GJ68" s="2">
        <v>0</v>
      </c>
      <c r="GK68" s="2">
        <v>0</v>
      </c>
      <c r="GL68" s="2">
        <f t="shared" ref="GL68:GL73" si="83">ROUND(IF(AND(BH68=3,BI68=3,FS68&lt;&gt;0),P68,0),2)</f>
        <v>0</v>
      </c>
      <c r="GM68" s="2">
        <f t="shared" ref="GM68:GM73" si="84">ROUND(O68+X68+Y68,2)+GX68</f>
        <v>2506</v>
      </c>
      <c r="GN68" s="2">
        <f t="shared" ref="GN68:GN73" si="85">IF(OR(BI68=0,BI68=1),ROUND(O68+X68+Y68,2),0)</f>
        <v>2506</v>
      </c>
      <c r="GO68" s="2">
        <f t="shared" ref="GO68:GO73" si="86">IF(BI68=2,ROUND(O68+X68+Y68,2),0)</f>
        <v>0</v>
      </c>
      <c r="GP68" s="2">
        <f t="shared" ref="GP68:GP73" si="87">IF(BI68=4,ROUND(O68+X68+Y68,2)+GX68,0)</f>
        <v>0</v>
      </c>
      <c r="GQ68" s="2"/>
      <c r="GR68" s="2">
        <v>0</v>
      </c>
      <c r="GS68" s="2">
        <v>3</v>
      </c>
      <c r="GT68" s="2">
        <v>0</v>
      </c>
      <c r="GU68" s="2" t="s">
        <v>3</v>
      </c>
      <c r="GV68" s="2">
        <f>ROUND((GT68),6)</f>
        <v>0</v>
      </c>
      <c r="GW68" s="2">
        <v>1</v>
      </c>
      <c r="GX68" s="2">
        <f t="shared" ref="GX68:GX73" si="88">ROUND(HC68*I68,2)</f>
        <v>0</v>
      </c>
      <c r="GY68" s="2"/>
      <c r="GZ68" s="2"/>
      <c r="HA68" s="2">
        <v>0</v>
      </c>
      <c r="HB68" s="2">
        <v>0</v>
      </c>
      <c r="HC68" s="2">
        <f t="shared" ref="HC68:HC73" si="89">GV68*GW68</f>
        <v>0</v>
      </c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>
        <v>0</v>
      </c>
      <c r="IL68" s="2"/>
      <c r="IM68" s="2"/>
      <c r="IN68" s="2"/>
      <c r="IO68" s="2"/>
      <c r="IP68" s="2"/>
      <c r="IQ68" s="2"/>
      <c r="IR68" s="2"/>
      <c r="IS68" s="2"/>
      <c r="IT68" s="2"/>
      <c r="IU68" s="2"/>
    </row>
    <row r="69" spans="1:255" x14ac:dyDescent="0.2">
      <c r="A69" s="66">
        <v>17</v>
      </c>
      <c r="B69">
        <v>1</v>
      </c>
      <c r="C69">
        <f>ROW(SmtRes!A18)</f>
        <v>18</v>
      </c>
      <c r="D69">
        <f>ROW(EtalonRes!A18)</f>
        <v>18</v>
      </c>
      <c r="E69" s="66" t="s">
        <v>3</v>
      </c>
      <c r="F69" t="s">
        <v>16</v>
      </c>
      <c r="G69" t="s">
        <v>17</v>
      </c>
      <c r="H69" t="s">
        <v>18</v>
      </c>
      <c r="I69">
        <f>ROUND(388.69/100,9)</f>
        <v>3.8868999999999998</v>
      </c>
      <c r="J69">
        <v>0</v>
      </c>
      <c r="O69">
        <f t="shared" si="61"/>
        <v>27064.73</v>
      </c>
      <c r="P69">
        <f t="shared" si="62"/>
        <v>0</v>
      </c>
      <c r="Q69">
        <f t="shared" si="63"/>
        <v>0</v>
      </c>
      <c r="R69">
        <f t="shared" si="64"/>
        <v>0</v>
      </c>
      <c r="S69">
        <f t="shared" si="65"/>
        <v>27064.73</v>
      </c>
      <c r="T69">
        <f t="shared" si="66"/>
        <v>0</v>
      </c>
      <c r="U69">
        <f t="shared" si="67"/>
        <v>114.741288</v>
      </c>
      <c r="V69">
        <f t="shared" si="68"/>
        <v>0</v>
      </c>
      <c r="W69">
        <f t="shared" si="69"/>
        <v>0</v>
      </c>
      <c r="X69">
        <f t="shared" si="70"/>
        <v>29771.200000000001</v>
      </c>
      <c r="Y69">
        <f t="shared" si="70"/>
        <v>18945.310000000001</v>
      </c>
      <c r="AA69">
        <v>-1</v>
      </c>
      <c r="AB69">
        <f t="shared" si="71"/>
        <v>230.26</v>
      </c>
      <c r="AC69">
        <f>ROUND((ES69),6)</f>
        <v>0</v>
      </c>
      <c r="AD69">
        <f>ROUND((((ET69)-(EU69))+AE69),6)</f>
        <v>0</v>
      </c>
      <c r="AE69">
        <f>ROUND((EU69),6)</f>
        <v>0</v>
      </c>
      <c r="AF69">
        <f>ROUND((EV69),6)</f>
        <v>230.26</v>
      </c>
      <c r="AG69">
        <f t="shared" si="72"/>
        <v>0</v>
      </c>
      <c r="AH69">
        <f>(EW69)</f>
        <v>29.52</v>
      </c>
      <c r="AI69">
        <f>(EX69)</f>
        <v>0</v>
      </c>
      <c r="AJ69">
        <f t="shared" si="73"/>
        <v>0</v>
      </c>
      <c r="AK69">
        <v>230.26</v>
      </c>
      <c r="AL69">
        <v>0</v>
      </c>
      <c r="AM69">
        <v>0</v>
      </c>
      <c r="AN69">
        <v>0</v>
      </c>
      <c r="AO69">
        <v>230.26</v>
      </c>
      <c r="AP69">
        <v>0</v>
      </c>
      <c r="AQ69">
        <v>29.52</v>
      </c>
      <c r="AR69">
        <v>0</v>
      </c>
      <c r="AS69">
        <v>0</v>
      </c>
      <c r="AT69">
        <v>110</v>
      </c>
      <c r="AU69">
        <v>70</v>
      </c>
      <c r="AV69">
        <v>1</v>
      </c>
      <c r="AW69">
        <v>1</v>
      </c>
      <c r="AZ69">
        <v>1</v>
      </c>
      <c r="BA69">
        <v>30.24</v>
      </c>
      <c r="BB69">
        <v>1</v>
      </c>
      <c r="BC69">
        <v>1</v>
      </c>
      <c r="BD69" t="s">
        <v>3</v>
      </c>
      <c r="BE69" t="s">
        <v>3</v>
      </c>
      <c r="BF69" t="s">
        <v>3</v>
      </c>
      <c r="BG69" t="s">
        <v>3</v>
      </c>
      <c r="BH69">
        <v>0</v>
      </c>
      <c r="BI69">
        <v>1</v>
      </c>
      <c r="BJ69" t="s">
        <v>19</v>
      </c>
      <c r="BM69">
        <v>46001</v>
      </c>
      <c r="BN69">
        <v>0</v>
      </c>
      <c r="BO69" t="s">
        <v>16</v>
      </c>
      <c r="BP69">
        <v>1</v>
      </c>
      <c r="BQ69">
        <v>2</v>
      </c>
      <c r="BR69">
        <v>0</v>
      </c>
      <c r="BS69">
        <v>30.24</v>
      </c>
      <c r="BT69">
        <v>1</v>
      </c>
      <c r="BU69">
        <v>1</v>
      </c>
      <c r="BV69">
        <v>1</v>
      </c>
      <c r="BW69">
        <v>1</v>
      </c>
      <c r="BX69">
        <v>1</v>
      </c>
      <c r="BY69" t="s">
        <v>3</v>
      </c>
      <c r="BZ69">
        <v>110</v>
      </c>
      <c r="CA69">
        <v>70</v>
      </c>
      <c r="CE69">
        <v>0</v>
      </c>
      <c r="CF69">
        <v>0</v>
      </c>
      <c r="CG69">
        <v>0</v>
      </c>
      <c r="CM69">
        <v>0</v>
      </c>
      <c r="CN69" t="s">
        <v>3</v>
      </c>
      <c r="CO69">
        <v>0</v>
      </c>
      <c r="CP69">
        <f t="shared" si="74"/>
        <v>27064.73</v>
      </c>
      <c r="CQ69">
        <f t="shared" si="75"/>
        <v>0</v>
      </c>
      <c r="CR69">
        <f t="shared" si="76"/>
        <v>0</v>
      </c>
      <c r="CS69">
        <f t="shared" si="77"/>
        <v>0</v>
      </c>
      <c r="CT69">
        <f t="shared" si="78"/>
        <v>6963.0623999999998</v>
      </c>
      <c r="CU69">
        <f t="shared" si="79"/>
        <v>0</v>
      </c>
      <c r="CV69">
        <f t="shared" si="79"/>
        <v>29.52</v>
      </c>
      <c r="CW69">
        <f t="shared" si="79"/>
        <v>0</v>
      </c>
      <c r="CX69">
        <f t="shared" si="79"/>
        <v>0</v>
      </c>
      <c r="CY69">
        <f t="shared" si="80"/>
        <v>29771.202999999998</v>
      </c>
      <c r="CZ69">
        <f t="shared" si="81"/>
        <v>18945.310999999998</v>
      </c>
      <c r="DC69" t="s">
        <v>3</v>
      </c>
      <c r="DD69" t="s">
        <v>3</v>
      </c>
      <c r="DE69" t="s">
        <v>3</v>
      </c>
      <c r="DF69" t="s">
        <v>3</v>
      </c>
      <c r="DG69" t="s">
        <v>3</v>
      </c>
      <c r="DH69" t="s">
        <v>3</v>
      </c>
      <c r="DI69" t="s">
        <v>3</v>
      </c>
      <c r="DJ69" t="s">
        <v>3</v>
      </c>
      <c r="DK69" t="s">
        <v>3</v>
      </c>
      <c r="DL69" t="s">
        <v>3</v>
      </c>
      <c r="DM69" t="s">
        <v>3</v>
      </c>
      <c r="DN69">
        <v>0</v>
      </c>
      <c r="DO69">
        <v>0</v>
      </c>
      <c r="DP69">
        <v>1</v>
      </c>
      <c r="DQ69">
        <v>1</v>
      </c>
      <c r="DU69">
        <v>1005</v>
      </c>
      <c r="DV69" t="s">
        <v>18</v>
      </c>
      <c r="DW69" t="s">
        <v>18</v>
      </c>
      <c r="DX69">
        <v>100</v>
      </c>
      <c r="EE69">
        <v>49155166</v>
      </c>
      <c r="EF69">
        <v>2</v>
      </c>
      <c r="EG69" t="s">
        <v>20</v>
      </c>
      <c r="EH69">
        <v>0</v>
      </c>
      <c r="EI69" t="s">
        <v>3</v>
      </c>
      <c r="EJ69">
        <v>1</v>
      </c>
      <c r="EK69">
        <v>46001</v>
      </c>
      <c r="EL69" t="s">
        <v>21</v>
      </c>
      <c r="EM69" t="s">
        <v>22</v>
      </c>
      <c r="EO69" t="s">
        <v>3</v>
      </c>
      <c r="EQ69">
        <v>132096</v>
      </c>
      <c r="ER69">
        <v>230.26</v>
      </c>
      <c r="ES69">
        <v>0</v>
      </c>
      <c r="ET69">
        <v>0</v>
      </c>
      <c r="EU69">
        <v>0</v>
      </c>
      <c r="EV69">
        <v>230.26</v>
      </c>
      <c r="EW69">
        <v>29.52</v>
      </c>
      <c r="EX69">
        <v>0</v>
      </c>
      <c r="EY69">
        <v>0</v>
      </c>
      <c r="FQ69">
        <v>0</v>
      </c>
      <c r="FR69">
        <f t="shared" si="82"/>
        <v>0</v>
      </c>
      <c r="FS69">
        <v>0</v>
      </c>
      <c r="FX69">
        <v>110</v>
      </c>
      <c r="FY69">
        <v>70</v>
      </c>
      <c r="GA69" t="s">
        <v>3</v>
      </c>
      <c r="GD69">
        <v>1</v>
      </c>
      <c r="GF69">
        <v>2139255638</v>
      </c>
      <c r="GG69">
        <v>2</v>
      </c>
      <c r="GH69">
        <v>1</v>
      </c>
      <c r="GI69">
        <v>2</v>
      </c>
      <c r="GJ69">
        <v>0</v>
      </c>
      <c r="GK69">
        <v>0</v>
      </c>
      <c r="GL69">
        <f t="shared" si="83"/>
        <v>0</v>
      </c>
      <c r="GM69">
        <f t="shared" si="84"/>
        <v>75781.240000000005</v>
      </c>
      <c r="GN69">
        <f t="shared" si="85"/>
        <v>75781.240000000005</v>
      </c>
      <c r="GO69">
        <f t="shared" si="86"/>
        <v>0</v>
      </c>
      <c r="GP69">
        <f t="shared" si="87"/>
        <v>0</v>
      </c>
      <c r="GR69">
        <v>0</v>
      </c>
      <c r="GS69">
        <v>3</v>
      </c>
      <c r="GT69">
        <v>0</v>
      </c>
      <c r="GU69" t="s">
        <v>3</v>
      </c>
      <c r="GV69">
        <f>ROUND((GT69),6)</f>
        <v>0</v>
      </c>
      <c r="GW69">
        <v>1</v>
      </c>
      <c r="GX69">
        <f t="shared" si="88"/>
        <v>0</v>
      </c>
      <c r="HA69">
        <v>0</v>
      </c>
      <c r="HB69">
        <v>0</v>
      </c>
      <c r="HC69">
        <f t="shared" si="89"/>
        <v>0</v>
      </c>
      <c r="IK69">
        <v>0</v>
      </c>
    </row>
    <row r="70" spans="1:255" x14ac:dyDescent="0.2">
      <c r="A70" s="69">
        <v>17</v>
      </c>
      <c r="B70" s="2">
        <v>1</v>
      </c>
      <c r="C70" s="2">
        <f>ROW(SmtRes!A19)</f>
        <v>19</v>
      </c>
      <c r="D70" s="2">
        <f>ROW(EtalonRes!A19)</f>
        <v>19</v>
      </c>
      <c r="E70" s="69" t="s">
        <v>91</v>
      </c>
      <c r="F70" s="2" t="s">
        <v>24</v>
      </c>
      <c r="G70" s="2" t="s">
        <v>25</v>
      </c>
      <c r="H70" s="2" t="s">
        <v>18</v>
      </c>
      <c r="I70" s="2">
        <f>ROUND(388.69/100,9)</f>
        <v>3.8868999999999998</v>
      </c>
      <c r="J70" s="2">
        <v>0</v>
      </c>
      <c r="K70" s="2"/>
      <c r="L70" s="2"/>
      <c r="M70" s="2"/>
      <c r="N70" s="2"/>
      <c r="O70" s="2">
        <f t="shared" si="61"/>
        <v>1570.54</v>
      </c>
      <c r="P70" s="2">
        <f t="shared" si="62"/>
        <v>0</v>
      </c>
      <c r="Q70" s="2">
        <f t="shared" si="63"/>
        <v>0</v>
      </c>
      <c r="R70" s="2">
        <f t="shared" si="64"/>
        <v>0</v>
      </c>
      <c r="S70" s="2">
        <f t="shared" si="65"/>
        <v>1570.54</v>
      </c>
      <c r="T70" s="2">
        <f t="shared" si="66"/>
        <v>0</v>
      </c>
      <c r="U70" s="2">
        <f t="shared" si="67"/>
        <v>201.34686166</v>
      </c>
      <c r="V70" s="2">
        <f t="shared" si="68"/>
        <v>0</v>
      </c>
      <c r="W70" s="2">
        <f t="shared" si="69"/>
        <v>0</v>
      </c>
      <c r="X70" s="2">
        <f t="shared" si="70"/>
        <v>1727.59</v>
      </c>
      <c r="Y70" s="2">
        <f t="shared" si="70"/>
        <v>1099.3800000000001</v>
      </c>
      <c r="Z70" s="2"/>
      <c r="AA70" s="2">
        <v>49290729</v>
      </c>
      <c r="AB70" s="2">
        <f t="shared" si="71"/>
        <v>404.06</v>
      </c>
      <c r="AC70" s="2">
        <f>ROUND(((ES70*2.27)),6)</f>
        <v>0</v>
      </c>
      <c r="AD70" s="2">
        <f>ROUND(((((ET70*2.27))-((EU70*2.27)))+AE70),6)</f>
        <v>0</v>
      </c>
      <c r="AE70" s="2">
        <f>ROUND(((EU70*2.27)),6)</f>
        <v>0</v>
      </c>
      <c r="AF70" s="2">
        <f>ROUND(((EV70*2.27)),6)</f>
        <v>404.06</v>
      </c>
      <c r="AG70" s="2">
        <f t="shared" si="72"/>
        <v>0</v>
      </c>
      <c r="AH70" s="2">
        <f>((EW70*2.27))</f>
        <v>51.801400000000001</v>
      </c>
      <c r="AI70" s="2">
        <f>((EX70*2.27))</f>
        <v>0</v>
      </c>
      <c r="AJ70" s="2">
        <f t="shared" si="73"/>
        <v>0</v>
      </c>
      <c r="AK70" s="2">
        <v>178</v>
      </c>
      <c r="AL70" s="2">
        <v>0</v>
      </c>
      <c r="AM70" s="2">
        <v>0</v>
      </c>
      <c r="AN70" s="2">
        <v>0</v>
      </c>
      <c r="AO70" s="2">
        <v>178</v>
      </c>
      <c r="AP70" s="2">
        <v>0</v>
      </c>
      <c r="AQ70" s="2">
        <v>22.82</v>
      </c>
      <c r="AR70" s="2">
        <v>0</v>
      </c>
      <c r="AS70" s="2">
        <v>0</v>
      </c>
      <c r="AT70" s="2">
        <v>110</v>
      </c>
      <c r="AU70" s="2">
        <v>70</v>
      </c>
      <c r="AV70" s="2">
        <v>1</v>
      </c>
      <c r="AW70" s="2">
        <v>1</v>
      </c>
      <c r="AX70" s="2"/>
      <c r="AY70" s="2"/>
      <c r="AZ70" s="2">
        <v>1</v>
      </c>
      <c r="BA70" s="2">
        <v>1</v>
      </c>
      <c r="BB70" s="2">
        <v>1</v>
      </c>
      <c r="BC70" s="2">
        <v>1</v>
      </c>
      <c r="BD70" s="2" t="s">
        <v>3</v>
      </c>
      <c r="BE70" s="2" t="s">
        <v>3</v>
      </c>
      <c r="BF70" s="2" t="s">
        <v>3</v>
      </c>
      <c r="BG70" s="2" t="s">
        <v>3</v>
      </c>
      <c r="BH70" s="2">
        <v>0</v>
      </c>
      <c r="BI70" s="2">
        <v>1</v>
      </c>
      <c r="BJ70" s="2" t="s">
        <v>26</v>
      </c>
      <c r="BK70" s="2"/>
      <c r="BL70" s="2"/>
      <c r="BM70" s="2">
        <v>46001</v>
      </c>
      <c r="BN70" s="2">
        <v>0</v>
      </c>
      <c r="BO70" s="2" t="s">
        <v>3</v>
      </c>
      <c r="BP70" s="2">
        <v>0</v>
      </c>
      <c r="BQ70" s="2">
        <v>2</v>
      </c>
      <c r="BR70" s="2">
        <v>0</v>
      </c>
      <c r="BS70" s="2">
        <v>1</v>
      </c>
      <c r="BT70" s="2">
        <v>1</v>
      </c>
      <c r="BU70" s="2">
        <v>1</v>
      </c>
      <c r="BV70" s="2">
        <v>1</v>
      </c>
      <c r="BW70" s="2">
        <v>1</v>
      </c>
      <c r="BX70" s="2">
        <v>1</v>
      </c>
      <c r="BY70" s="2" t="s">
        <v>3</v>
      </c>
      <c r="BZ70" s="2">
        <v>110</v>
      </c>
      <c r="CA70" s="2">
        <v>70</v>
      </c>
      <c r="CB70" s="2"/>
      <c r="CC70" s="2"/>
      <c r="CD70" s="2"/>
      <c r="CE70" s="2">
        <v>0</v>
      </c>
      <c r="CF70" s="2">
        <v>0</v>
      </c>
      <c r="CG70" s="2">
        <v>0</v>
      </c>
      <c r="CH70" s="2"/>
      <c r="CI70" s="2"/>
      <c r="CJ70" s="2"/>
      <c r="CK70" s="2"/>
      <c r="CL70" s="2"/>
      <c r="CM70" s="2">
        <v>0</v>
      </c>
      <c r="CN70" s="2" t="s">
        <v>3</v>
      </c>
      <c r="CO70" s="2">
        <v>0</v>
      </c>
      <c r="CP70" s="2">
        <f t="shared" si="74"/>
        <v>1570.54</v>
      </c>
      <c r="CQ70" s="2">
        <f t="shared" si="75"/>
        <v>0</v>
      </c>
      <c r="CR70" s="2">
        <f t="shared" si="76"/>
        <v>0</v>
      </c>
      <c r="CS70" s="2">
        <f t="shared" si="77"/>
        <v>0</v>
      </c>
      <c r="CT70" s="2">
        <f t="shared" si="78"/>
        <v>404.06</v>
      </c>
      <c r="CU70" s="2">
        <f t="shared" si="79"/>
        <v>0</v>
      </c>
      <c r="CV70" s="2">
        <f t="shared" si="79"/>
        <v>51.801400000000001</v>
      </c>
      <c r="CW70" s="2">
        <f t="shared" si="79"/>
        <v>0</v>
      </c>
      <c r="CX70" s="2">
        <f t="shared" si="79"/>
        <v>0</v>
      </c>
      <c r="CY70" s="2">
        <f t="shared" si="80"/>
        <v>1727.5940000000001</v>
      </c>
      <c r="CZ70" s="2">
        <f t="shared" si="81"/>
        <v>1099.3779999999999</v>
      </c>
      <c r="DA70" s="2"/>
      <c r="DB70" s="2"/>
      <c r="DC70" s="2" t="s">
        <v>3</v>
      </c>
      <c r="DD70" s="2" t="s">
        <v>27</v>
      </c>
      <c r="DE70" s="2" t="s">
        <v>27</v>
      </c>
      <c r="DF70" s="2" t="s">
        <v>27</v>
      </c>
      <c r="DG70" s="2" t="s">
        <v>27</v>
      </c>
      <c r="DH70" s="2" t="s">
        <v>3</v>
      </c>
      <c r="DI70" s="2" t="s">
        <v>27</v>
      </c>
      <c r="DJ70" s="2" t="s">
        <v>27</v>
      </c>
      <c r="DK70" s="2" t="s">
        <v>3</v>
      </c>
      <c r="DL70" s="2" t="s">
        <v>3</v>
      </c>
      <c r="DM70" s="2" t="s">
        <v>3</v>
      </c>
      <c r="DN70" s="2">
        <v>0</v>
      </c>
      <c r="DO70" s="2">
        <v>0</v>
      </c>
      <c r="DP70" s="2">
        <v>1</v>
      </c>
      <c r="DQ70" s="2">
        <v>1</v>
      </c>
      <c r="DR70" s="2"/>
      <c r="DS70" s="2"/>
      <c r="DT70" s="2"/>
      <c r="DU70" s="2">
        <v>1005</v>
      </c>
      <c r="DV70" s="2" t="s">
        <v>18</v>
      </c>
      <c r="DW70" s="2" t="s">
        <v>18</v>
      </c>
      <c r="DX70" s="2">
        <v>100</v>
      </c>
      <c r="DY70" s="2"/>
      <c r="DZ70" s="2"/>
      <c r="EA70" s="2"/>
      <c r="EB70" s="2"/>
      <c r="EC70" s="2"/>
      <c r="ED70" s="2"/>
      <c r="EE70" s="2">
        <v>49155166</v>
      </c>
      <c r="EF70" s="2">
        <v>2</v>
      </c>
      <c r="EG70" s="2" t="s">
        <v>20</v>
      </c>
      <c r="EH70" s="2">
        <v>0</v>
      </c>
      <c r="EI70" s="2" t="s">
        <v>3</v>
      </c>
      <c r="EJ70" s="2">
        <v>1</v>
      </c>
      <c r="EK70" s="2">
        <v>46001</v>
      </c>
      <c r="EL70" s="2" t="s">
        <v>21</v>
      </c>
      <c r="EM70" s="2" t="s">
        <v>22</v>
      </c>
      <c r="EN70" s="2"/>
      <c r="EO70" s="2" t="s">
        <v>3</v>
      </c>
      <c r="EP70" s="2"/>
      <c r="EQ70" s="2">
        <v>0</v>
      </c>
      <c r="ER70" s="2">
        <v>178</v>
      </c>
      <c r="ES70" s="2">
        <v>0</v>
      </c>
      <c r="ET70" s="2">
        <v>0</v>
      </c>
      <c r="EU70" s="2">
        <v>0</v>
      </c>
      <c r="EV70" s="2">
        <v>178</v>
      </c>
      <c r="EW70" s="2">
        <v>22.82</v>
      </c>
      <c r="EX70" s="2">
        <v>0</v>
      </c>
      <c r="EY70" s="2">
        <v>0</v>
      </c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>
        <v>0</v>
      </c>
      <c r="FR70" s="2">
        <f t="shared" si="82"/>
        <v>0</v>
      </c>
      <c r="FS70" s="2">
        <v>0</v>
      </c>
      <c r="FT70" s="2"/>
      <c r="FU70" s="2"/>
      <c r="FV70" s="2"/>
      <c r="FW70" s="2"/>
      <c r="FX70" s="2">
        <v>110</v>
      </c>
      <c r="FY70" s="2">
        <v>70</v>
      </c>
      <c r="FZ70" s="2"/>
      <c r="GA70" s="2" t="s">
        <v>3</v>
      </c>
      <c r="GB70" s="2"/>
      <c r="GC70" s="2"/>
      <c r="GD70" s="2">
        <v>1</v>
      </c>
      <c r="GE70" s="2"/>
      <c r="GF70" s="2">
        <v>-1418496943</v>
      </c>
      <c r="GG70" s="2">
        <v>2</v>
      </c>
      <c r="GH70" s="2">
        <v>1</v>
      </c>
      <c r="GI70" s="2">
        <v>-2</v>
      </c>
      <c r="GJ70" s="2">
        <v>0</v>
      </c>
      <c r="GK70" s="2">
        <v>0</v>
      </c>
      <c r="GL70" s="2">
        <f t="shared" si="83"/>
        <v>0</v>
      </c>
      <c r="GM70" s="2">
        <f t="shared" si="84"/>
        <v>4397.51</v>
      </c>
      <c r="GN70" s="2">
        <f t="shared" si="85"/>
        <v>4397.51</v>
      </c>
      <c r="GO70" s="2">
        <f t="shared" si="86"/>
        <v>0</v>
      </c>
      <c r="GP70" s="2">
        <f t="shared" si="87"/>
        <v>0</v>
      </c>
      <c r="GQ70" s="2"/>
      <c r="GR70" s="2">
        <v>0</v>
      </c>
      <c r="GS70" s="2">
        <v>3</v>
      </c>
      <c r="GT70" s="2">
        <v>0</v>
      </c>
      <c r="GU70" s="2" t="s">
        <v>27</v>
      </c>
      <c r="GV70" s="2">
        <f>ROUND(((GT70*2.27)),6)</f>
        <v>0</v>
      </c>
      <c r="GW70" s="2">
        <v>1</v>
      </c>
      <c r="GX70" s="2">
        <f t="shared" si="88"/>
        <v>0</v>
      </c>
      <c r="GY70" s="2"/>
      <c r="GZ70" s="2"/>
      <c r="HA70" s="2">
        <v>0</v>
      </c>
      <c r="HB70" s="2">
        <v>0</v>
      </c>
      <c r="HC70" s="2">
        <f t="shared" si="89"/>
        <v>0</v>
      </c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>
        <v>0</v>
      </c>
      <c r="IL70" s="2"/>
      <c r="IM70" s="2"/>
      <c r="IN70" s="2"/>
      <c r="IO70" s="2"/>
      <c r="IP70" s="2"/>
      <c r="IQ70" s="2"/>
      <c r="IR70" s="2"/>
      <c r="IS70" s="2"/>
      <c r="IT70" s="2"/>
      <c r="IU70" s="2"/>
    </row>
    <row r="71" spans="1:255" x14ac:dyDescent="0.2">
      <c r="A71" s="66">
        <v>17</v>
      </c>
      <c r="B71">
        <v>1</v>
      </c>
      <c r="C71">
        <f>ROW(SmtRes!A20)</f>
        <v>20</v>
      </c>
      <c r="D71">
        <f>ROW(EtalonRes!A20)</f>
        <v>20</v>
      </c>
      <c r="E71" s="66" t="s">
        <v>91</v>
      </c>
      <c r="F71" t="s">
        <v>24</v>
      </c>
      <c r="G71" t="s">
        <v>25</v>
      </c>
      <c r="H71" t="s">
        <v>18</v>
      </c>
      <c r="I71">
        <f>ROUND(388.69/100,9)</f>
        <v>3.8868999999999998</v>
      </c>
      <c r="J71">
        <v>0</v>
      </c>
      <c r="O71">
        <f t="shared" si="61"/>
        <v>47493.15</v>
      </c>
      <c r="P71">
        <f t="shared" si="62"/>
        <v>0</v>
      </c>
      <c r="Q71">
        <f t="shared" si="63"/>
        <v>0</v>
      </c>
      <c r="R71">
        <f t="shared" si="64"/>
        <v>0</v>
      </c>
      <c r="S71">
        <f t="shared" si="65"/>
        <v>47493.15</v>
      </c>
      <c r="T71">
        <f t="shared" si="66"/>
        <v>0</v>
      </c>
      <c r="U71">
        <f t="shared" si="67"/>
        <v>201.34686166</v>
      </c>
      <c r="V71">
        <f t="shared" si="68"/>
        <v>0</v>
      </c>
      <c r="W71">
        <f t="shared" si="69"/>
        <v>0</v>
      </c>
      <c r="X71">
        <f t="shared" si="70"/>
        <v>52242.47</v>
      </c>
      <c r="Y71">
        <f t="shared" si="70"/>
        <v>33245.21</v>
      </c>
      <c r="AA71">
        <v>49290730</v>
      </c>
      <c r="AB71">
        <f t="shared" si="71"/>
        <v>404.06</v>
      </c>
      <c r="AC71">
        <f>ROUND(((ES71*2.27)),6)</f>
        <v>0</v>
      </c>
      <c r="AD71">
        <f>ROUND(((((ET71*2.27))-((EU71*2.27)))+AE71),6)</f>
        <v>0</v>
      </c>
      <c r="AE71">
        <f>ROUND(((EU71*2.27)),6)</f>
        <v>0</v>
      </c>
      <c r="AF71">
        <f>ROUND(((EV71*2.27)),6)</f>
        <v>404.06</v>
      </c>
      <c r="AG71">
        <f t="shared" si="72"/>
        <v>0</v>
      </c>
      <c r="AH71">
        <f>((EW71*2.27))</f>
        <v>51.801400000000001</v>
      </c>
      <c r="AI71">
        <f>((EX71*2.27))</f>
        <v>0</v>
      </c>
      <c r="AJ71">
        <f t="shared" si="73"/>
        <v>0</v>
      </c>
      <c r="AK71">
        <v>178</v>
      </c>
      <c r="AL71">
        <v>0</v>
      </c>
      <c r="AM71">
        <v>0</v>
      </c>
      <c r="AN71">
        <v>0</v>
      </c>
      <c r="AO71">
        <v>178</v>
      </c>
      <c r="AP71">
        <v>0</v>
      </c>
      <c r="AQ71">
        <v>22.82</v>
      </c>
      <c r="AR71">
        <v>0</v>
      </c>
      <c r="AS71">
        <v>0</v>
      </c>
      <c r="AT71">
        <v>110</v>
      </c>
      <c r="AU71">
        <v>70</v>
      </c>
      <c r="AV71">
        <v>1</v>
      </c>
      <c r="AW71">
        <v>1</v>
      </c>
      <c r="AZ71">
        <v>1</v>
      </c>
      <c r="BA71">
        <v>30.24</v>
      </c>
      <c r="BB71">
        <v>1</v>
      </c>
      <c r="BC71">
        <v>1</v>
      </c>
      <c r="BD71" t="s">
        <v>3</v>
      </c>
      <c r="BE71" t="s">
        <v>3</v>
      </c>
      <c r="BF71" t="s">
        <v>3</v>
      </c>
      <c r="BG71" t="s">
        <v>3</v>
      </c>
      <c r="BH71">
        <v>0</v>
      </c>
      <c r="BI71">
        <v>1</v>
      </c>
      <c r="BJ71" t="s">
        <v>26</v>
      </c>
      <c r="BM71">
        <v>46001</v>
      </c>
      <c r="BN71">
        <v>0</v>
      </c>
      <c r="BO71" t="s">
        <v>24</v>
      </c>
      <c r="BP71">
        <v>1</v>
      </c>
      <c r="BQ71">
        <v>2</v>
      </c>
      <c r="BR71">
        <v>0</v>
      </c>
      <c r="BS71">
        <v>30.24</v>
      </c>
      <c r="BT71">
        <v>1</v>
      </c>
      <c r="BU71">
        <v>1</v>
      </c>
      <c r="BV71">
        <v>1</v>
      </c>
      <c r="BW71">
        <v>1</v>
      </c>
      <c r="BX71">
        <v>1</v>
      </c>
      <c r="BY71" t="s">
        <v>3</v>
      </c>
      <c r="BZ71">
        <v>110</v>
      </c>
      <c r="CA71">
        <v>70</v>
      </c>
      <c r="CE71">
        <v>0</v>
      </c>
      <c r="CF71">
        <v>0</v>
      </c>
      <c r="CG71">
        <v>0</v>
      </c>
      <c r="CM71">
        <v>0</v>
      </c>
      <c r="CN71" t="s">
        <v>3</v>
      </c>
      <c r="CO71">
        <v>0</v>
      </c>
      <c r="CP71">
        <f t="shared" si="74"/>
        <v>47493.15</v>
      </c>
      <c r="CQ71">
        <f t="shared" si="75"/>
        <v>0</v>
      </c>
      <c r="CR71">
        <f t="shared" si="76"/>
        <v>0</v>
      </c>
      <c r="CS71">
        <f t="shared" si="77"/>
        <v>0</v>
      </c>
      <c r="CT71">
        <f t="shared" si="78"/>
        <v>12218.7744</v>
      </c>
      <c r="CU71">
        <f t="shared" si="79"/>
        <v>0</v>
      </c>
      <c r="CV71">
        <f t="shared" si="79"/>
        <v>51.801400000000001</v>
      </c>
      <c r="CW71">
        <f t="shared" si="79"/>
        <v>0</v>
      </c>
      <c r="CX71">
        <f t="shared" si="79"/>
        <v>0</v>
      </c>
      <c r="CY71">
        <f t="shared" si="80"/>
        <v>52242.464999999997</v>
      </c>
      <c r="CZ71">
        <f t="shared" si="81"/>
        <v>33245.205000000002</v>
      </c>
      <c r="DC71" t="s">
        <v>3</v>
      </c>
      <c r="DD71" t="s">
        <v>27</v>
      </c>
      <c r="DE71" t="s">
        <v>27</v>
      </c>
      <c r="DF71" t="s">
        <v>27</v>
      </c>
      <c r="DG71" t="s">
        <v>27</v>
      </c>
      <c r="DH71" t="s">
        <v>3</v>
      </c>
      <c r="DI71" t="s">
        <v>27</v>
      </c>
      <c r="DJ71" t="s">
        <v>27</v>
      </c>
      <c r="DK71" t="s">
        <v>3</v>
      </c>
      <c r="DL71" t="s">
        <v>3</v>
      </c>
      <c r="DM71" t="s">
        <v>3</v>
      </c>
      <c r="DN71">
        <v>0</v>
      </c>
      <c r="DO71">
        <v>0</v>
      </c>
      <c r="DP71">
        <v>1</v>
      </c>
      <c r="DQ71">
        <v>1</v>
      </c>
      <c r="DU71">
        <v>1005</v>
      </c>
      <c r="DV71" t="s">
        <v>18</v>
      </c>
      <c r="DW71" t="s">
        <v>18</v>
      </c>
      <c r="DX71">
        <v>100</v>
      </c>
      <c r="EE71">
        <v>49155166</v>
      </c>
      <c r="EF71">
        <v>2</v>
      </c>
      <c r="EG71" t="s">
        <v>20</v>
      </c>
      <c r="EH71">
        <v>0</v>
      </c>
      <c r="EI71" t="s">
        <v>3</v>
      </c>
      <c r="EJ71">
        <v>1</v>
      </c>
      <c r="EK71">
        <v>46001</v>
      </c>
      <c r="EL71" t="s">
        <v>21</v>
      </c>
      <c r="EM71" t="s">
        <v>22</v>
      </c>
      <c r="EO71" t="s">
        <v>3</v>
      </c>
      <c r="EQ71">
        <v>0</v>
      </c>
      <c r="ER71">
        <v>178</v>
      </c>
      <c r="ES71">
        <v>0</v>
      </c>
      <c r="ET71">
        <v>0</v>
      </c>
      <c r="EU71">
        <v>0</v>
      </c>
      <c r="EV71">
        <v>178</v>
      </c>
      <c r="EW71">
        <v>22.82</v>
      </c>
      <c r="EX71">
        <v>0</v>
      </c>
      <c r="EY71">
        <v>0</v>
      </c>
      <c r="FQ71">
        <v>0</v>
      </c>
      <c r="FR71">
        <f t="shared" si="82"/>
        <v>0</v>
      </c>
      <c r="FS71">
        <v>0</v>
      </c>
      <c r="FX71">
        <v>110</v>
      </c>
      <c r="FY71">
        <v>70</v>
      </c>
      <c r="GA71" t="s">
        <v>3</v>
      </c>
      <c r="GD71">
        <v>1</v>
      </c>
      <c r="GF71">
        <v>-1418496943</v>
      </c>
      <c r="GG71">
        <v>2</v>
      </c>
      <c r="GH71">
        <v>1</v>
      </c>
      <c r="GI71">
        <v>2</v>
      </c>
      <c r="GJ71">
        <v>0</v>
      </c>
      <c r="GK71">
        <v>0</v>
      </c>
      <c r="GL71">
        <f t="shared" si="83"/>
        <v>0</v>
      </c>
      <c r="GM71">
        <f t="shared" si="84"/>
        <v>132980.82999999999</v>
      </c>
      <c r="GN71">
        <f t="shared" si="85"/>
        <v>132980.82999999999</v>
      </c>
      <c r="GO71">
        <f t="shared" si="86"/>
        <v>0</v>
      </c>
      <c r="GP71">
        <f t="shared" si="87"/>
        <v>0</v>
      </c>
      <c r="GR71">
        <v>0</v>
      </c>
      <c r="GS71">
        <v>3</v>
      </c>
      <c r="GT71">
        <v>0</v>
      </c>
      <c r="GU71" t="s">
        <v>27</v>
      </c>
      <c r="GV71">
        <f>ROUND(((GT71*2.27)),6)</f>
        <v>0</v>
      </c>
      <c r="GW71">
        <v>1</v>
      </c>
      <c r="GX71">
        <f t="shared" si="88"/>
        <v>0</v>
      </c>
      <c r="HA71">
        <v>0</v>
      </c>
      <c r="HB71">
        <v>0</v>
      </c>
      <c r="HC71">
        <f t="shared" si="89"/>
        <v>0</v>
      </c>
      <c r="IK71">
        <v>0</v>
      </c>
    </row>
    <row r="72" spans="1:255" x14ac:dyDescent="0.2">
      <c r="A72" s="69">
        <v>17</v>
      </c>
      <c r="B72" s="2">
        <v>1</v>
      </c>
      <c r="C72" s="2">
        <f>ROW(SmtRes!A26)</f>
        <v>26</v>
      </c>
      <c r="D72" s="2">
        <f>ROW(EtalonRes!A26)</f>
        <v>26</v>
      </c>
      <c r="E72" s="69" t="s">
        <v>92</v>
      </c>
      <c r="F72" s="2" t="s">
        <v>29</v>
      </c>
      <c r="G72" s="2" t="s">
        <v>30</v>
      </c>
      <c r="H72" s="2" t="s">
        <v>18</v>
      </c>
      <c r="I72" s="2">
        <f>ROUND(I70,9)</f>
        <v>3.8868999999999998</v>
      </c>
      <c r="J72" s="2">
        <v>0</v>
      </c>
      <c r="K72" s="2"/>
      <c r="L72" s="2"/>
      <c r="M72" s="2"/>
      <c r="N72" s="2"/>
      <c r="O72" s="2">
        <f t="shared" si="61"/>
        <v>654.58000000000004</v>
      </c>
      <c r="P72" s="2">
        <f t="shared" si="62"/>
        <v>0</v>
      </c>
      <c r="Q72" s="2">
        <f t="shared" si="63"/>
        <v>30.64</v>
      </c>
      <c r="R72" s="2">
        <f t="shared" si="64"/>
        <v>6.97</v>
      </c>
      <c r="S72" s="2">
        <f t="shared" si="65"/>
        <v>623.94000000000005</v>
      </c>
      <c r="T72" s="2">
        <f t="shared" si="66"/>
        <v>0</v>
      </c>
      <c r="U72" s="2">
        <f t="shared" si="67"/>
        <v>67.966333399999996</v>
      </c>
      <c r="V72" s="2">
        <f t="shared" si="68"/>
        <v>0.57137429999999989</v>
      </c>
      <c r="W72" s="2">
        <f t="shared" si="69"/>
        <v>0</v>
      </c>
      <c r="X72" s="2">
        <f t="shared" si="70"/>
        <v>662.46</v>
      </c>
      <c r="Y72" s="2">
        <f t="shared" si="70"/>
        <v>347</v>
      </c>
      <c r="Z72" s="2"/>
      <c r="AA72" s="2">
        <v>49290729</v>
      </c>
      <c r="AB72" s="2">
        <f t="shared" si="71"/>
        <v>168.40600000000001</v>
      </c>
      <c r="AC72" s="2">
        <f>ROUND(((ES72*0)),6)</f>
        <v>0</v>
      </c>
      <c r="AD72" s="2">
        <f>ROUND(((((ET72*0.7))-((EU72*0.7)))+AE72),6)</f>
        <v>7.8819999999999997</v>
      </c>
      <c r="AE72" s="2">
        <f>ROUND(((EU72*0.7)),6)</f>
        <v>1.792</v>
      </c>
      <c r="AF72" s="2">
        <f>ROUND(((EV72*0.7)),6)</f>
        <v>160.524</v>
      </c>
      <c r="AG72" s="2">
        <f t="shared" si="72"/>
        <v>0</v>
      </c>
      <c r="AH72" s="2">
        <f>((EW72*0.7))</f>
        <v>17.486000000000001</v>
      </c>
      <c r="AI72" s="2">
        <f>((EX72*0.7))</f>
        <v>0.14699999999999999</v>
      </c>
      <c r="AJ72" s="2">
        <f t="shared" si="73"/>
        <v>0</v>
      </c>
      <c r="AK72" s="2">
        <v>1852.9</v>
      </c>
      <c r="AL72" s="2">
        <v>1612.32</v>
      </c>
      <c r="AM72" s="2">
        <v>11.26</v>
      </c>
      <c r="AN72" s="2">
        <v>2.56</v>
      </c>
      <c r="AO72" s="2">
        <v>229.32</v>
      </c>
      <c r="AP72" s="2">
        <v>0</v>
      </c>
      <c r="AQ72" s="2">
        <v>24.98</v>
      </c>
      <c r="AR72" s="2">
        <v>0.21</v>
      </c>
      <c r="AS72" s="2">
        <v>0</v>
      </c>
      <c r="AT72" s="2">
        <v>105</v>
      </c>
      <c r="AU72" s="2">
        <v>55</v>
      </c>
      <c r="AV72" s="2">
        <v>1</v>
      </c>
      <c r="AW72" s="2">
        <v>1</v>
      </c>
      <c r="AX72" s="2"/>
      <c r="AY72" s="2"/>
      <c r="AZ72" s="2">
        <v>1</v>
      </c>
      <c r="BA72" s="2">
        <v>1</v>
      </c>
      <c r="BB72" s="2">
        <v>1</v>
      </c>
      <c r="BC72" s="2">
        <v>1</v>
      </c>
      <c r="BD72" s="2" t="s">
        <v>3</v>
      </c>
      <c r="BE72" s="2" t="s">
        <v>3</v>
      </c>
      <c r="BF72" s="2" t="s">
        <v>3</v>
      </c>
      <c r="BG72" s="2" t="s">
        <v>3</v>
      </c>
      <c r="BH72" s="2">
        <v>0</v>
      </c>
      <c r="BI72" s="2">
        <v>1</v>
      </c>
      <c r="BJ72" s="2" t="s">
        <v>31</v>
      </c>
      <c r="BK72" s="2"/>
      <c r="BL72" s="2"/>
      <c r="BM72" s="2">
        <v>15001</v>
      </c>
      <c r="BN72" s="2">
        <v>0</v>
      </c>
      <c r="BO72" s="2" t="s">
        <v>3</v>
      </c>
      <c r="BP72" s="2">
        <v>0</v>
      </c>
      <c r="BQ72" s="2">
        <v>2</v>
      </c>
      <c r="BR72" s="2">
        <v>0</v>
      </c>
      <c r="BS72" s="2">
        <v>1</v>
      </c>
      <c r="BT72" s="2">
        <v>1</v>
      </c>
      <c r="BU72" s="2">
        <v>1</v>
      </c>
      <c r="BV72" s="2">
        <v>1</v>
      </c>
      <c r="BW72" s="2">
        <v>1</v>
      </c>
      <c r="BX72" s="2">
        <v>1</v>
      </c>
      <c r="BY72" s="2" t="s">
        <v>3</v>
      </c>
      <c r="BZ72" s="2">
        <v>105</v>
      </c>
      <c r="CA72" s="2">
        <v>55</v>
      </c>
      <c r="CB72" s="2"/>
      <c r="CC72" s="2"/>
      <c r="CD72" s="2"/>
      <c r="CE72" s="2">
        <v>0</v>
      </c>
      <c r="CF72" s="2">
        <v>0</v>
      </c>
      <c r="CG72" s="2">
        <v>0</v>
      </c>
      <c r="CH72" s="2"/>
      <c r="CI72" s="2"/>
      <c r="CJ72" s="2"/>
      <c r="CK72" s="2"/>
      <c r="CL72" s="2"/>
      <c r="CM72" s="2">
        <v>0</v>
      </c>
      <c r="CN72" s="2" t="s">
        <v>32</v>
      </c>
      <c r="CO72" s="2">
        <v>0</v>
      </c>
      <c r="CP72" s="2">
        <f t="shared" si="74"/>
        <v>654.58000000000004</v>
      </c>
      <c r="CQ72" s="2">
        <f t="shared" si="75"/>
        <v>0</v>
      </c>
      <c r="CR72" s="2">
        <f t="shared" si="76"/>
        <v>7.8819999999999997</v>
      </c>
      <c r="CS72" s="2">
        <f t="shared" si="77"/>
        <v>1.792</v>
      </c>
      <c r="CT72" s="2">
        <f t="shared" si="78"/>
        <v>160.524</v>
      </c>
      <c r="CU72" s="2">
        <f t="shared" si="79"/>
        <v>0</v>
      </c>
      <c r="CV72" s="2">
        <f t="shared" si="79"/>
        <v>17.486000000000001</v>
      </c>
      <c r="CW72" s="2">
        <f t="shared" si="79"/>
        <v>0.14699999999999999</v>
      </c>
      <c r="CX72" s="2">
        <f t="shared" si="79"/>
        <v>0</v>
      </c>
      <c r="CY72" s="2">
        <f t="shared" si="80"/>
        <v>662.45550000000003</v>
      </c>
      <c r="CZ72" s="2">
        <f t="shared" si="81"/>
        <v>347.00050000000005</v>
      </c>
      <c r="DA72" s="2"/>
      <c r="DB72" s="2"/>
      <c r="DC72" s="2" t="s">
        <v>3</v>
      </c>
      <c r="DD72" s="2" t="s">
        <v>33</v>
      </c>
      <c r="DE72" s="2" t="s">
        <v>34</v>
      </c>
      <c r="DF72" s="2" t="s">
        <v>34</v>
      </c>
      <c r="DG72" s="2" t="s">
        <v>34</v>
      </c>
      <c r="DH72" s="2" t="s">
        <v>3</v>
      </c>
      <c r="DI72" s="2" t="s">
        <v>34</v>
      </c>
      <c r="DJ72" s="2" t="s">
        <v>34</v>
      </c>
      <c r="DK72" s="2" t="s">
        <v>3</v>
      </c>
      <c r="DL72" s="2" t="s">
        <v>3</v>
      </c>
      <c r="DM72" s="2" t="s">
        <v>3</v>
      </c>
      <c r="DN72" s="2">
        <v>0</v>
      </c>
      <c r="DO72" s="2">
        <v>0</v>
      </c>
      <c r="DP72" s="2">
        <v>1</v>
      </c>
      <c r="DQ72" s="2">
        <v>1</v>
      </c>
      <c r="DR72" s="2"/>
      <c r="DS72" s="2"/>
      <c r="DT72" s="2"/>
      <c r="DU72" s="2">
        <v>1005</v>
      </c>
      <c r="DV72" s="2" t="s">
        <v>18</v>
      </c>
      <c r="DW72" s="2" t="s">
        <v>18</v>
      </c>
      <c r="DX72" s="2">
        <v>100</v>
      </c>
      <c r="DY72" s="2"/>
      <c r="DZ72" s="2"/>
      <c r="EA72" s="2"/>
      <c r="EB72" s="2"/>
      <c r="EC72" s="2"/>
      <c r="ED72" s="2"/>
      <c r="EE72" s="2">
        <v>49155124</v>
      </c>
      <c r="EF72" s="2">
        <v>2</v>
      </c>
      <c r="EG72" s="2" t="s">
        <v>20</v>
      </c>
      <c r="EH72" s="2">
        <v>0</v>
      </c>
      <c r="EI72" s="2" t="s">
        <v>3</v>
      </c>
      <c r="EJ72" s="2">
        <v>1</v>
      </c>
      <c r="EK72" s="2">
        <v>15001</v>
      </c>
      <c r="EL72" s="2" t="s">
        <v>35</v>
      </c>
      <c r="EM72" s="2" t="s">
        <v>36</v>
      </c>
      <c r="EN72" s="2"/>
      <c r="EO72" s="2" t="s">
        <v>37</v>
      </c>
      <c r="EP72" s="2"/>
      <c r="EQ72" s="2">
        <v>0</v>
      </c>
      <c r="ER72" s="2">
        <v>1852.9</v>
      </c>
      <c r="ES72" s="2">
        <v>1612.32</v>
      </c>
      <c r="ET72" s="2">
        <v>11.26</v>
      </c>
      <c r="EU72" s="2">
        <v>2.56</v>
      </c>
      <c r="EV72" s="2">
        <v>229.32</v>
      </c>
      <c r="EW72" s="2">
        <v>24.98</v>
      </c>
      <c r="EX72" s="2">
        <v>0.21</v>
      </c>
      <c r="EY72" s="2">
        <v>0</v>
      </c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>
        <v>0</v>
      </c>
      <c r="FR72" s="2">
        <f t="shared" si="82"/>
        <v>0</v>
      </c>
      <c r="FS72" s="2">
        <v>0</v>
      </c>
      <c r="FT72" s="2"/>
      <c r="FU72" s="2"/>
      <c r="FV72" s="2"/>
      <c r="FW72" s="2"/>
      <c r="FX72" s="2">
        <v>105</v>
      </c>
      <c r="FY72" s="2">
        <v>55</v>
      </c>
      <c r="FZ72" s="2"/>
      <c r="GA72" s="2" t="s">
        <v>3</v>
      </c>
      <c r="GB72" s="2"/>
      <c r="GC72" s="2"/>
      <c r="GD72" s="2">
        <v>1</v>
      </c>
      <c r="GE72" s="2"/>
      <c r="GF72" s="2">
        <v>-424834600</v>
      </c>
      <c r="GG72" s="2">
        <v>2</v>
      </c>
      <c r="GH72" s="2">
        <v>1</v>
      </c>
      <c r="GI72" s="2">
        <v>-2</v>
      </c>
      <c r="GJ72" s="2">
        <v>0</v>
      </c>
      <c r="GK72" s="2">
        <v>0</v>
      </c>
      <c r="GL72" s="2">
        <f t="shared" si="83"/>
        <v>0</v>
      </c>
      <c r="GM72" s="2">
        <f t="shared" si="84"/>
        <v>1664.04</v>
      </c>
      <c r="GN72" s="2">
        <f t="shared" si="85"/>
        <v>1664.04</v>
      </c>
      <c r="GO72" s="2">
        <f t="shared" si="86"/>
        <v>0</v>
      </c>
      <c r="GP72" s="2">
        <f t="shared" si="87"/>
        <v>0</v>
      </c>
      <c r="GQ72" s="2"/>
      <c r="GR72" s="2">
        <v>0</v>
      </c>
      <c r="GS72" s="2">
        <v>3</v>
      </c>
      <c r="GT72" s="2">
        <v>0</v>
      </c>
      <c r="GU72" s="2" t="s">
        <v>3</v>
      </c>
      <c r="GV72" s="2">
        <f>ROUND((GT72),6)</f>
        <v>0</v>
      </c>
      <c r="GW72" s="2">
        <v>1</v>
      </c>
      <c r="GX72" s="2">
        <f t="shared" si="88"/>
        <v>0</v>
      </c>
      <c r="GY72" s="2"/>
      <c r="GZ72" s="2"/>
      <c r="HA72" s="2">
        <v>0</v>
      </c>
      <c r="HB72" s="2">
        <v>0</v>
      </c>
      <c r="HC72" s="2">
        <f t="shared" si="89"/>
        <v>0</v>
      </c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>
        <v>0</v>
      </c>
      <c r="IL72" s="2"/>
      <c r="IM72" s="2"/>
      <c r="IN72" s="2"/>
      <c r="IO72" s="2"/>
      <c r="IP72" s="2"/>
      <c r="IQ72" s="2"/>
      <c r="IR72" s="2"/>
      <c r="IS72" s="2"/>
      <c r="IT72" s="2"/>
      <c r="IU72" s="2"/>
    </row>
    <row r="73" spans="1:255" x14ac:dyDescent="0.2">
      <c r="A73" s="66">
        <v>17</v>
      </c>
      <c r="B73">
        <v>1</v>
      </c>
      <c r="C73">
        <f>ROW(SmtRes!A32)</f>
        <v>32</v>
      </c>
      <c r="D73">
        <f>ROW(EtalonRes!A32)</f>
        <v>32</v>
      </c>
      <c r="E73" s="66" t="s">
        <v>92</v>
      </c>
      <c r="F73" t="s">
        <v>29</v>
      </c>
      <c r="G73" t="s">
        <v>30</v>
      </c>
      <c r="H73" t="s">
        <v>18</v>
      </c>
      <c r="I73">
        <f>ROUND(I71,9)</f>
        <v>3.8868999999999998</v>
      </c>
      <c r="J73">
        <v>0</v>
      </c>
      <c r="O73">
        <f t="shared" si="61"/>
        <v>19155.650000000001</v>
      </c>
      <c r="P73">
        <f t="shared" si="62"/>
        <v>0</v>
      </c>
      <c r="Q73">
        <f t="shared" si="63"/>
        <v>287.68</v>
      </c>
      <c r="R73">
        <f t="shared" si="64"/>
        <v>210.63</v>
      </c>
      <c r="S73">
        <f t="shared" si="65"/>
        <v>18867.97</v>
      </c>
      <c r="T73">
        <f t="shared" si="66"/>
        <v>0</v>
      </c>
      <c r="U73">
        <f t="shared" si="67"/>
        <v>67.966333399999996</v>
      </c>
      <c r="V73">
        <f t="shared" si="68"/>
        <v>0.57137429999999989</v>
      </c>
      <c r="W73">
        <f t="shared" si="69"/>
        <v>0</v>
      </c>
      <c r="X73">
        <f t="shared" si="70"/>
        <v>20032.53</v>
      </c>
      <c r="Y73">
        <f t="shared" si="70"/>
        <v>10493.23</v>
      </c>
      <c r="AA73">
        <v>49290730</v>
      </c>
      <c r="AB73">
        <f t="shared" si="71"/>
        <v>168.40600000000001</v>
      </c>
      <c r="AC73">
        <f>ROUND(((ES73*0)),6)</f>
        <v>0</v>
      </c>
      <c r="AD73">
        <f>ROUND(((((ET73*0.7))-((EU73*0.7)))+AE73),6)</f>
        <v>7.8819999999999997</v>
      </c>
      <c r="AE73">
        <f>ROUND(((EU73*0.7)),6)</f>
        <v>1.792</v>
      </c>
      <c r="AF73">
        <f>ROUND(((EV73*0.7)),6)</f>
        <v>160.524</v>
      </c>
      <c r="AG73">
        <f t="shared" si="72"/>
        <v>0</v>
      </c>
      <c r="AH73">
        <f>((EW73*0.7))</f>
        <v>17.486000000000001</v>
      </c>
      <c r="AI73">
        <f>((EX73*0.7))</f>
        <v>0.14699999999999999</v>
      </c>
      <c r="AJ73">
        <f t="shared" si="73"/>
        <v>0</v>
      </c>
      <c r="AK73">
        <v>1852.9</v>
      </c>
      <c r="AL73">
        <v>1612.32</v>
      </c>
      <c r="AM73">
        <v>11.26</v>
      </c>
      <c r="AN73">
        <v>2.56</v>
      </c>
      <c r="AO73">
        <v>229.32</v>
      </c>
      <c r="AP73">
        <v>0</v>
      </c>
      <c r="AQ73">
        <v>24.98</v>
      </c>
      <c r="AR73">
        <v>0.21</v>
      </c>
      <c r="AS73">
        <v>0</v>
      </c>
      <c r="AT73">
        <v>105</v>
      </c>
      <c r="AU73">
        <v>55</v>
      </c>
      <c r="AV73">
        <v>1</v>
      </c>
      <c r="AW73">
        <v>1</v>
      </c>
      <c r="AZ73">
        <v>1</v>
      </c>
      <c r="BA73">
        <v>30.24</v>
      </c>
      <c r="BB73">
        <v>9.39</v>
      </c>
      <c r="BC73">
        <v>8.4</v>
      </c>
      <c r="BD73" t="s">
        <v>3</v>
      </c>
      <c r="BE73" t="s">
        <v>3</v>
      </c>
      <c r="BF73" t="s">
        <v>3</v>
      </c>
      <c r="BG73" t="s">
        <v>3</v>
      </c>
      <c r="BH73">
        <v>0</v>
      </c>
      <c r="BI73">
        <v>1</v>
      </c>
      <c r="BJ73" t="s">
        <v>31</v>
      </c>
      <c r="BM73">
        <v>15001</v>
      </c>
      <c r="BN73">
        <v>0</v>
      </c>
      <c r="BO73" t="s">
        <v>29</v>
      </c>
      <c r="BP73">
        <v>1</v>
      </c>
      <c r="BQ73">
        <v>2</v>
      </c>
      <c r="BR73">
        <v>0</v>
      </c>
      <c r="BS73">
        <v>30.24</v>
      </c>
      <c r="BT73">
        <v>1</v>
      </c>
      <c r="BU73">
        <v>1</v>
      </c>
      <c r="BV73">
        <v>1</v>
      </c>
      <c r="BW73">
        <v>1</v>
      </c>
      <c r="BX73">
        <v>1</v>
      </c>
      <c r="BY73" t="s">
        <v>3</v>
      </c>
      <c r="BZ73">
        <v>105</v>
      </c>
      <c r="CA73">
        <v>55</v>
      </c>
      <c r="CE73">
        <v>0</v>
      </c>
      <c r="CF73">
        <v>0</v>
      </c>
      <c r="CG73">
        <v>0</v>
      </c>
      <c r="CM73">
        <v>0</v>
      </c>
      <c r="CN73" t="s">
        <v>32</v>
      </c>
      <c r="CO73">
        <v>0</v>
      </c>
      <c r="CP73">
        <f t="shared" si="74"/>
        <v>19155.650000000001</v>
      </c>
      <c r="CQ73">
        <f t="shared" si="75"/>
        <v>0</v>
      </c>
      <c r="CR73">
        <f t="shared" si="76"/>
        <v>74.011980000000008</v>
      </c>
      <c r="CS73">
        <f t="shared" si="77"/>
        <v>54.190080000000002</v>
      </c>
      <c r="CT73">
        <f t="shared" si="78"/>
        <v>4854.2457599999998</v>
      </c>
      <c r="CU73">
        <f t="shared" si="79"/>
        <v>0</v>
      </c>
      <c r="CV73">
        <f t="shared" si="79"/>
        <v>17.486000000000001</v>
      </c>
      <c r="CW73">
        <f t="shared" si="79"/>
        <v>0.14699999999999999</v>
      </c>
      <c r="CX73">
        <f t="shared" si="79"/>
        <v>0</v>
      </c>
      <c r="CY73">
        <f t="shared" si="80"/>
        <v>20032.530000000002</v>
      </c>
      <c r="CZ73">
        <f t="shared" si="81"/>
        <v>10493.230000000003</v>
      </c>
      <c r="DC73" t="s">
        <v>3</v>
      </c>
      <c r="DD73" t="s">
        <v>33</v>
      </c>
      <c r="DE73" t="s">
        <v>34</v>
      </c>
      <c r="DF73" t="s">
        <v>34</v>
      </c>
      <c r="DG73" t="s">
        <v>34</v>
      </c>
      <c r="DH73" t="s">
        <v>3</v>
      </c>
      <c r="DI73" t="s">
        <v>34</v>
      </c>
      <c r="DJ73" t="s">
        <v>34</v>
      </c>
      <c r="DK73" t="s">
        <v>3</v>
      </c>
      <c r="DL73" t="s">
        <v>3</v>
      </c>
      <c r="DM73" t="s">
        <v>3</v>
      </c>
      <c r="DN73">
        <v>0</v>
      </c>
      <c r="DO73">
        <v>0</v>
      </c>
      <c r="DP73">
        <v>1</v>
      </c>
      <c r="DQ73">
        <v>1</v>
      </c>
      <c r="DU73">
        <v>1005</v>
      </c>
      <c r="DV73" t="s">
        <v>18</v>
      </c>
      <c r="DW73" t="s">
        <v>18</v>
      </c>
      <c r="DX73">
        <v>100</v>
      </c>
      <c r="EE73">
        <v>49155124</v>
      </c>
      <c r="EF73">
        <v>2</v>
      </c>
      <c r="EG73" t="s">
        <v>20</v>
      </c>
      <c r="EH73">
        <v>0</v>
      </c>
      <c r="EI73" t="s">
        <v>3</v>
      </c>
      <c r="EJ73">
        <v>1</v>
      </c>
      <c r="EK73">
        <v>15001</v>
      </c>
      <c r="EL73" t="s">
        <v>35</v>
      </c>
      <c r="EM73" t="s">
        <v>36</v>
      </c>
      <c r="EO73" t="s">
        <v>37</v>
      </c>
      <c r="EQ73">
        <v>0</v>
      </c>
      <c r="ER73">
        <v>1852.9</v>
      </c>
      <c r="ES73">
        <v>1612.32</v>
      </c>
      <c r="ET73">
        <v>11.26</v>
      </c>
      <c r="EU73">
        <v>2.56</v>
      </c>
      <c r="EV73">
        <v>229.32</v>
      </c>
      <c r="EW73">
        <v>24.98</v>
      </c>
      <c r="EX73">
        <v>0.21</v>
      </c>
      <c r="EY73">
        <v>0</v>
      </c>
      <c r="FQ73">
        <v>0</v>
      </c>
      <c r="FR73">
        <f t="shared" si="82"/>
        <v>0</v>
      </c>
      <c r="FS73">
        <v>0</v>
      </c>
      <c r="FX73">
        <v>105</v>
      </c>
      <c r="FY73">
        <v>55</v>
      </c>
      <c r="GA73" t="s">
        <v>3</v>
      </c>
      <c r="GD73">
        <v>1</v>
      </c>
      <c r="GF73">
        <v>-424834600</v>
      </c>
      <c r="GG73">
        <v>2</v>
      </c>
      <c r="GH73">
        <v>1</v>
      </c>
      <c r="GI73">
        <v>2</v>
      </c>
      <c r="GJ73">
        <v>0</v>
      </c>
      <c r="GK73">
        <v>0</v>
      </c>
      <c r="GL73">
        <f t="shared" si="83"/>
        <v>0</v>
      </c>
      <c r="GM73">
        <f t="shared" si="84"/>
        <v>49681.41</v>
      </c>
      <c r="GN73">
        <f t="shared" si="85"/>
        <v>49681.41</v>
      </c>
      <c r="GO73">
        <f t="shared" si="86"/>
        <v>0</v>
      </c>
      <c r="GP73">
        <f t="shared" si="87"/>
        <v>0</v>
      </c>
      <c r="GR73">
        <v>0</v>
      </c>
      <c r="GS73">
        <v>3</v>
      </c>
      <c r="GT73">
        <v>0</v>
      </c>
      <c r="GU73" t="s">
        <v>3</v>
      </c>
      <c r="GV73">
        <f>ROUND((GT73),6)</f>
        <v>0</v>
      </c>
      <c r="GW73">
        <v>1</v>
      </c>
      <c r="GX73">
        <f t="shared" si="88"/>
        <v>0</v>
      </c>
      <c r="HA73">
        <v>0</v>
      </c>
      <c r="HB73">
        <v>0</v>
      </c>
      <c r="HC73">
        <f t="shared" si="89"/>
        <v>0</v>
      </c>
      <c r="IK73">
        <v>0</v>
      </c>
    </row>
    <row r="75" spans="1:255" x14ac:dyDescent="0.2">
      <c r="A75" s="68">
        <v>51</v>
      </c>
      <c r="B75" s="3">
        <f>B64</f>
        <v>1</v>
      </c>
      <c r="C75" s="3">
        <f>A64</f>
        <v>4</v>
      </c>
      <c r="D75" s="3">
        <f>ROW(A64)</f>
        <v>64</v>
      </c>
      <c r="E75" s="3"/>
      <c r="F75" s="3" t="str">
        <f>IF(F64&lt;&gt;"",F64,"")</f>
        <v>Новый раздел</v>
      </c>
      <c r="G75" s="3" t="str">
        <f>IF(G64&lt;&gt;"",G64,"")</f>
        <v>№2 Потолки.</v>
      </c>
      <c r="H75" s="3">
        <v>0</v>
      </c>
      <c r="I75" s="3"/>
      <c r="J75" s="3"/>
      <c r="K75" s="3"/>
      <c r="L75" s="3"/>
      <c r="M75" s="3"/>
      <c r="N75" s="3"/>
      <c r="O75" s="3">
        <f t="shared" ref="O75:T75" si="90">ROUND(AB75,2)</f>
        <v>2225.12</v>
      </c>
      <c r="P75" s="3">
        <f t="shared" si="90"/>
        <v>0</v>
      </c>
      <c r="Q75" s="3">
        <f t="shared" si="90"/>
        <v>30.64</v>
      </c>
      <c r="R75" s="3">
        <f t="shared" si="90"/>
        <v>6.97</v>
      </c>
      <c r="S75" s="3">
        <f t="shared" si="90"/>
        <v>2194.48</v>
      </c>
      <c r="T75" s="3">
        <f t="shared" si="90"/>
        <v>0</v>
      </c>
      <c r="U75" s="3">
        <f>AH75</f>
        <v>269.31319506</v>
      </c>
      <c r="V75" s="3">
        <f>AI75</f>
        <v>0.57137429999999989</v>
      </c>
      <c r="W75" s="3">
        <f>ROUND(AJ75,2)</f>
        <v>0</v>
      </c>
      <c r="X75" s="3">
        <f>ROUND(AK75,2)</f>
        <v>2390.0500000000002</v>
      </c>
      <c r="Y75" s="3">
        <f>ROUND(AL75,2)</f>
        <v>1446.38</v>
      </c>
      <c r="Z75" s="3"/>
      <c r="AA75" s="3"/>
      <c r="AB75" s="3">
        <f>ROUND(SUMIF(AA68:AA73,"=49290729",O68:O73),2)</f>
        <v>2225.12</v>
      </c>
      <c r="AC75" s="3">
        <f>ROUND(SUMIF(AA68:AA73,"=49290729",P68:P73),2)</f>
        <v>0</v>
      </c>
      <c r="AD75" s="3">
        <f>ROUND(SUMIF(AA68:AA73,"=49290729",Q68:Q73),2)</f>
        <v>30.64</v>
      </c>
      <c r="AE75" s="3">
        <f>ROUND(SUMIF(AA68:AA73,"=49290729",R68:R73),2)</f>
        <v>6.97</v>
      </c>
      <c r="AF75" s="3">
        <f>ROUND(SUMIF(AA68:AA73,"=49290729",S68:S73),2)</f>
        <v>2194.48</v>
      </c>
      <c r="AG75" s="3">
        <f>ROUND(SUMIF(AA68:AA73,"=49290729",T68:T73),2)</f>
        <v>0</v>
      </c>
      <c r="AH75" s="3">
        <f>SUMIF(AA68:AA73,"=49290729",U68:U73)</f>
        <v>269.31319506</v>
      </c>
      <c r="AI75" s="3">
        <f>SUMIF(AA68:AA73,"=49290729",V68:V73)</f>
        <v>0.57137429999999989</v>
      </c>
      <c r="AJ75" s="3">
        <f>ROUND(SUMIF(AA68:AA73,"=49290729",W68:W73),2)</f>
        <v>0</v>
      </c>
      <c r="AK75" s="3">
        <f>ROUND(SUMIF(AA68:AA73,"=49290729",X68:X73),2)</f>
        <v>2390.0500000000002</v>
      </c>
      <c r="AL75" s="3">
        <f>ROUND(SUMIF(AA68:AA73,"=49290729",Y68:Y73),2)</f>
        <v>1446.38</v>
      </c>
      <c r="AM75" s="3"/>
      <c r="AN75" s="3"/>
      <c r="AO75" s="3">
        <f t="shared" ref="AO75:BC75" si="91">ROUND(BX75,2)</f>
        <v>0</v>
      </c>
      <c r="AP75" s="3">
        <f t="shared" si="91"/>
        <v>0</v>
      </c>
      <c r="AQ75" s="3">
        <f t="shared" si="91"/>
        <v>0</v>
      </c>
      <c r="AR75" s="3">
        <f t="shared" si="91"/>
        <v>6061.55</v>
      </c>
      <c r="AS75" s="3">
        <f t="shared" si="91"/>
        <v>6061.55</v>
      </c>
      <c r="AT75" s="3">
        <f t="shared" si="91"/>
        <v>0</v>
      </c>
      <c r="AU75" s="3">
        <f t="shared" si="91"/>
        <v>0</v>
      </c>
      <c r="AV75" s="3">
        <f t="shared" si="91"/>
        <v>0</v>
      </c>
      <c r="AW75" s="3">
        <f t="shared" si="91"/>
        <v>0</v>
      </c>
      <c r="AX75" s="3">
        <f t="shared" si="91"/>
        <v>0</v>
      </c>
      <c r="AY75" s="3">
        <f t="shared" si="91"/>
        <v>0</v>
      </c>
      <c r="AZ75" s="3">
        <f t="shared" si="91"/>
        <v>0</v>
      </c>
      <c r="BA75" s="3">
        <f t="shared" si="91"/>
        <v>0</v>
      </c>
      <c r="BB75" s="3">
        <f t="shared" si="91"/>
        <v>0</v>
      </c>
      <c r="BC75" s="3">
        <f t="shared" si="91"/>
        <v>0</v>
      </c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>
        <f>ROUND(SUMIF(AA68:AA73,"=49290729",FQ68:FQ73),2)</f>
        <v>0</v>
      </c>
      <c r="BY75" s="3">
        <f>ROUND(SUMIF(AA68:AA73,"=49290729",FR68:FR73),2)</f>
        <v>0</v>
      </c>
      <c r="BZ75" s="3">
        <f>ROUND(SUMIF(AA68:AA73,"=49290729",GL68:GL73),2)</f>
        <v>0</v>
      </c>
      <c r="CA75" s="3">
        <f>ROUND(SUMIF(AA68:AA73,"=49290729",GM68:GM73),2)</f>
        <v>6061.55</v>
      </c>
      <c r="CB75" s="3">
        <f>ROUND(SUMIF(AA68:AA73,"=49290729",GN68:GN73),2)</f>
        <v>6061.55</v>
      </c>
      <c r="CC75" s="3">
        <f>ROUND(SUMIF(AA68:AA73,"=49290729",GO68:GO73),2)</f>
        <v>0</v>
      </c>
      <c r="CD75" s="3">
        <f>ROUND(SUMIF(AA68:AA73,"=49290729",GP68:GP73),2)</f>
        <v>0</v>
      </c>
      <c r="CE75" s="3">
        <f>AC75-BX75</f>
        <v>0</v>
      </c>
      <c r="CF75" s="3">
        <f>AC75-BY75</f>
        <v>0</v>
      </c>
      <c r="CG75" s="3">
        <f>BX75-BZ75</f>
        <v>0</v>
      </c>
      <c r="CH75" s="3">
        <f>AC75-BX75-BY75+BZ75</f>
        <v>0</v>
      </c>
      <c r="CI75" s="3">
        <f>BY75-BZ75</f>
        <v>0</v>
      </c>
      <c r="CJ75" s="3">
        <f>ROUND(SUMIF(AA68:AA73,"=49290729",GX68:GX73),2)</f>
        <v>0</v>
      </c>
      <c r="CK75" s="3">
        <f>ROUND(SUMIF(AA68:AA73,"=49290729",GY68:GY73),2)</f>
        <v>0</v>
      </c>
      <c r="CL75" s="3">
        <f>ROUND(SUMIF(AA68:AA73,"=49290729",GZ68:GZ73),2)</f>
        <v>0</v>
      </c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4">
        <f t="shared" ref="DG75:DL75" si="92">ROUND(DT75,2)</f>
        <v>66648.800000000003</v>
      </c>
      <c r="DH75" s="4">
        <f t="shared" si="92"/>
        <v>0</v>
      </c>
      <c r="DI75" s="4">
        <f t="shared" si="92"/>
        <v>287.68</v>
      </c>
      <c r="DJ75" s="4">
        <f t="shared" si="92"/>
        <v>210.63</v>
      </c>
      <c r="DK75" s="4">
        <f t="shared" si="92"/>
        <v>66361.119999999995</v>
      </c>
      <c r="DL75" s="4">
        <f t="shared" si="92"/>
        <v>0</v>
      </c>
      <c r="DM75" s="4">
        <f>DZ75</f>
        <v>269.31319506</v>
      </c>
      <c r="DN75" s="4">
        <f>EA75</f>
        <v>0.57137429999999989</v>
      </c>
      <c r="DO75" s="4">
        <f>ROUND(EB75,2)</f>
        <v>0</v>
      </c>
      <c r="DP75" s="4">
        <f>ROUND(EC75,2)</f>
        <v>72275</v>
      </c>
      <c r="DQ75" s="4">
        <f>ROUND(ED75,2)</f>
        <v>43738.44</v>
      </c>
      <c r="DR75" s="4"/>
      <c r="DS75" s="4"/>
      <c r="DT75" s="4">
        <f>ROUND(SUMIF(AA68:AA73,"=49290730",O68:O73),2)</f>
        <v>66648.800000000003</v>
      </c>
      <c r="DU75" s="4">
        <f>ROUND(SUMIF(AA68:AA73,"=49290730",P68:P73),2)</f>
        <v>0</v>
      </c>
      <c r="DV75" s="4">
        <f>ROUND(SUMIF(AA68:AA73,"=49290730",Q68:Q73),2)</f>
        <v>287.68</v>
      </c>
      <c r="DW75" s="4">
        <f>ROUND(SUMIF(AA68:AA73,"=49290730",R68:R73),2)</f>
        <v>210.63</v>
      </c>
      <c r="DX75" s="4">
        <f>ROUND(SUMIF(AA68:AA73,"=49290730",S68:S73),2)</f>
        <v>66361.119999999995</v>
      </c>
      <c r="DY75" s="4">
        <f>ROUND(SUMIF(AA68:AA73,"=49290730",T68:T73),2)</f>
        <v>0</v>
      </c>
      <c r="DZ75" s="4">
        <f>SUMIF(AA68:AA73,"=49290730",U68:U73)</f>
        <v>269.31319506</v>
      </c>
      <c r="EA75" s="4">
        <f>SUMIF(AA68:AA73,"=49290730",V68:V73)</f>
        <v>0.57137429999999989</v>
      </c>
      <c r="EB75" s="4">
        <f>ROUND(SUMIF(AA68:AA73,"=49290730",W68:W73),2)</f>
        <v>0</v>
      </c>
      <c r="EC75" s="4">
        <f>ROUND(SUMIF(AA68:AA73,"=49290730",X68:X73),2)</f>
        <v>72275</v>
      </c>
      <c r="ED75" s="4">
        <f>ROUND(SUMIF(AA68:AA73,"=49290730",Y68:Y73),2)</f>
        <v>43738.44</v>
      </c>
      <c r="EE75" s="4"/>
      <c r="EF75" s="4"/>
      <c r="EG75" s="4">
        <f t="shared" ref="EG75:EU75" si="93">ROUND(FP75,2)</f>
        <v>0</v>
      </c>
      <c r="EH75" s="4">
        <f t="shared" si="93"/>
        <v>0</v>
      </c>
      <c r="EI75" s="4">
        <f t="shared" si="93"/>
        <v>0</v>
      </c>
      <c r="EJ75" s="4">
        <f t="shared" si="93"/>
        <v>182662.24</v>
      </c>
      <c r="EK75" s="4">
        <f t="shared" si="93"/>
        <v>182662.24</v>
      </c>
      <c r="EL75" s="4">
        <f t="shared" si="93"/>
        <v>0</v>
      </c>
      <c r="EM75" s="4">
        <f t="shared" si="93"/>
        <v>0</v>
      </c>
      <c r="EN75" s="4">
        <f t="shared" si="93"/>
        <v>0</v>
      </c>
      <c r="EO75" s="4">
        <f t="shared" si="93"/>
        <v>0</v>
      </c>
      <c r="EP75" s="4">
        <f t="shared" si="93"/>
        <v>0</v>
      </c>
      <c r="EQ75" s="4">
        <f t="shared" si="93"/>
        <v>0</v>
      </c>
      <c r="ER75" s="4">
        <f t="shared" si="93"/>
        <v>0</v>
      </c>
      <c r="ES75" s="4">
        <f t="shared" si="93"/>
        <v>0</v>
      </c>
      <c r="ET75" s="4">
        <f t="shared" si="93"/>
        <v>0</v>
      </c>
      <c r="EU75" s="4">
        <f t="shared" si="93"/>
        <v>0</v>
      </c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>
        <f>ROUND(SUMIF(AA68:AA73,"=49290730",FQ68:FQ73),2)</f>
        <v>0</v>
      </c>
      <c r="FQ75" s="4">
        <f>ROUND(SUMIF(AA68:AA73,"=49290730",FR68:FR73),2)</f>
        <v>0</v>
      </c>
      <c r="FR75" s="4">
        <f>ROUND(SUMIF(AA68:AA73,"=49290730",GL68:GL73),2)</f>
        <v>0</v>
      </c>
      <c r="FS75" s="4">
        <f>ROUND(SUMIF(AA68:AA73,"=49290730",GM68:GM73),2)</f>
        <v>182662.24</v>
      </c>
      <c r="FT75" s="4">
        <f>ROUND(SUMIF(AA68:AA73,"=49290730",GN68:GN73),2)</f>
        <v>182662.24</v>
      </c>
      <c r="FU75" s="4">
        <f>ROUND(SUMIF(AA68:AA73,"=49290730",GO68:GO73),2)</f>
        <v>0</v>
      </c>
      <c r="FV75" s="4">
        <f>ROUND(SUMIF(AA68:AA73,"=49290730",GP68:GP73),2)</f>
        <v>0</v>
      </c>
      <c r="FW75" s="4">
        <f>DU75-FP75</f>
        <v>0</v>
      </c>
      <c r="FX75" s="4">
        <f>DU75-FQ75</f>
        <v>0</v>
      </c>
      <c r="FY75" s="4">
        <f>FP75-FR75</f>
        <v>0</v>
      </c>
      <c r="FZ75" s="4">
        <f>DU75-FP75-FQ75+FR75</f>
        <v>0</v>
      </c>
      <c r="GA75" s="4">
        <f>FQ75-FR75</f>
        <v>0</v>
      </c>
      <c r="GB75" s="4">
        <f>ROUND(SUMIF(AA68:AA73,"=49290730",GX68:GX73),2)</f>
        <v>0</v>
      </c>
      <c r="GC75" s="4">
        <f>ROUND(SUMIF(AA68:AA73,"=49290730",GY68:GY73),2)</f>
        <v>0</v>
      </c>
      <c r="GD75" s="4">
        <f>ROUND(SUMIF(AA68:AA73,"=49290730",GZ68:GZ73),2)</f>
        <v>0</v>
      </c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>
        <v>0</v>
      </c>
    </row>
    <row r="77" spans="1:255" x14ac:dyDescent="0.2">
      <c r="A77" s="70">
        <v>50</v>
      </c>
      <c r="B77" s="5">
        <v>0</v>
      </c>
      <c r="C77" s="5">
        <v>0</v>
      </c>
      <c r="D77" s="5">
        <v>1</v>
      </c>
      <c r="E77" s="5">
        <v>201</v>
      </c>
      <c r="F77" s="5">
        <f>ROUND(Source!O75,O77)</f>
        <v>2225.12</v>
      </c>
      <c r="G77" s="5" t="s">
        <v>38</v>
      </c>
      <c r="H77" s="5" t="s">
        <v>39</v>
      </c>
      <c r="I77" s="5"/>
      <c r="J77" s="5"/>
      <c r="K77" s="5">
        <v>201</v>
      </c>
      <c r="L77" s="5">
        <v>1</v>
      </c>
      <c r="M77" s="5">
        <v>3</v>
      </c>
      <c r="N77" s="5" t="s">
        <v>3</v>
      </c>
      <c r="O77" s="5">
        <v>2</v>
      </c>
      <c r="P77" s="5">
        <f>ROUND(Source!DG75,O77)</f>
        <v>66648.800000000003</v>
      </c>
      <c r="Q77" s="5"/>
      <c r="R77" s="5"/>
      <c r="S77" s="5"/>
      <c r="T77" s="5"/>
      <c r="U77" s="5"/>
      <c r="V77" s="5"/>
      <c r="W77" s="5"/>
    </row>
    <row r="78" spans="1:255" x14ac:dyDescent="0.2">
      <c r="A78" s="70">
        <v>50</v>
      </c>
      <c r="B78" s="5">
        <v>0</v>
      </c>
      <c r="C78" s="5">
        <v>0</v>
      </c>
      <c r="D78" s="5">
        <v>1</v>
      </c>
      <c r="E78" s="5">
        <v>202</v>
      </c>
      <c r="F78" s="5">
        <f>ROUND(Source!P75,O78)</f>
        <v>0</v>
      </c>
      <c r="G78" s="5" t="s">
        <v>40</v>
      </c>
      <c r="H78" s="5" t="s">
        <v>41</v>
      </c>
      <c r="I78" s="5"/>
      <c r="J78" s="5"/>
      <c r="K78" s="5">
        <v>202</v>
      </c>
      <c r="L78" s="5">
        <v>2</v>
      </c>
      <c r="M78" s="5">
        <v>3</v>
      </c>
      <c r="N78" s="5" t="s">
        <v>3</v>
      </c>
      <c r="O78" s="5">
        <v>2</v>
      </c>
      <c r="P78" s="5">
        <f>ROUND(Source!DH75,O78)</f>
        <v>0</v>
      </c>
      <c r="Q78" s="5"/>
      <c r="R78" s="5"/>
      <c r="S78" s="5"/>
      <c r="T78" s="5"/>
      <c r="U78" s="5"/>
      <c r="V78" s="5"/>
      <c r="W78" s="5"/>
    </row>
    <row r="79" spans="1:255" x14ac:dyDescent="0.2">
      <c r="A79" s="70">
        <v>50</v>
      </c>
      <c r="B79" s="5">
        <v>0</v>
      </c>
      <c r="C79" s="5">
        <v>0</v>
      </c>
      <c r="D79" s="5">
        <v>1</v>
      </c>
      <c r="E79" s="5">
        <v>222</v>
      </c>
      <c r="F79" s="5">
        <f>ROUND(Source!AO75,O79)</f>
        <v>0</v>
      </c>
      <c r="G79" s="5" t="s">
        <v>42</v>
      </c>
      <c r="H79" s="5" t="s">
        <v>43</v>
      </c>
      <c r="I79" s="5"/>
      <c r="J79" s="5"/>
      <c r="K79" s="5">
        <v>222</v>
      </c>
      <c r="L79" s="5">
        <v>3</v>
      </c>
      <c r="M79" s="5">
        <v>3</v>
      </c>
      <c r="N79" s="5" t="s">
        <v>3</v>
      </c>
      <c r="O79" s="5">
        <v>2</v>
      </c>
      <c r="P79" s="5">
        <f>ROUND(Source!EG75,O79)</f>
        <v>0</v>
      </c>
      <c r="Q79" s="5"/>
      <c r="R79" s="5"/>
      <c r="S79" s="5"/>
      <c r="T79" s="5"/>
      <c r="U79" s="5"/>
      <c r="V79" s="5"/>
      <c r="W79" s="5"/>
    </row>
    <row r="80" spans="1:255" x14ac:dyDescent="0.2">
      <c r="A80" s="70">
        <v>50</v>
      </c>
      <c r="B80" s="5">
        <v>0</v>
      </c>
      <c r="C80" s="5">
        <v>0</v>
      </c>
      <c r="D80" s="5">
        <v>1</v>
      </c>
      <c r="E80" s="5">
        <v>225</v>
      </c>
      <c r="F80" s="5">
        <f>ROUND(Source!AV75,O80)</f>
        <v>0</v>
      </c>
      <c r="G80" s="5" t="s">
        <v>44</v>
      </c>
      <c r="H80" s="5" t="s">
        <v>45</v>
      </c>
      <c r="I80" s="5"/>
      <c r="J80" s="5"/>
      <c r="K80" s="5">
        <v>225</v>
      </c>
      <c r="L80" s="5">
        <v>4</v>
      </c>
      <c r="M80" s="5">
        <v>3</v>
      </c>
      <c r="N80" s="5" t="s">
        <v>3</v>
      </c>
      <c r="O80" s="5">
        <v>2</v>
      </c>
      <c r="P80" s="5">
        <f>ROUND(Source!EN75,O80)</f>
        <v>0</v>
      </c>
      <c r="Q80" s="5"/>
      <c r="R80" s="5"/>
      <c r="S80" s="5"/>
      <c r="T80" s="5"/>
      <c r="U80" s="5"/>
      <c r="V80" s="5"/>
      <c r="W80" s="5"/>
    </row>
    <row r="81" spans="1:23" x14ac:dyDescent="0.2">
      <c r="A81" s="70">
        <v>50</v>
      </c>
      <c r="B81" s="5">
        <v>0</v>
      </c>
      <c r="C81" s="5">
        <v>0</v>
      </c>
      <c r="D81" s="5">
        <v>1</v>
      </c>
      <c r="E81" s="5">
        <v>226</v>
      </c>
      <c r="F81" s="5">
        <f>ROUND(Source!AW75,O81)</f>
        <v>0</v>
      </c>
      <c r="G81" s="5" t="s">
        <v>46</v>
      </c>
      <c r="H81" s="5" t="s">
        <v>47</v>
      </c>
      <c r="I81" s="5"/>
      <c r="J81" s="5"/>
      <c r="K81" s="5">
        <v>226</v>
      </c>
      <c r="L81" s="5">
        <v>5</v>
      </c>
      <c r="M81" s="5">
        <v>3</v>
      </c>
      <c r="N81" s="5" t="s">
        <v>3</v>
      </c>
      <c r="O81" s="5">
        <v>2</v>
      </c>
      <c r="P81" s="5">
        <f>ROUND(Source!EO75,O81)</f>
        <v>0</v>
      </c>
      <c r="Q81" s="5"/>
      <c r="R81" s="5"/>
      <c r="S81" s="5"/>
      <c r="T81" s="5"/>
      <c r="U81" s="5"/>
      <c r="V81" s="5"/>
      <c r="W81" s="5"/>
    </row>
    <row r="82" spans="1:23" x14ac:dyDescent="0.2">
      <c r="A82" s="70">
        <v>50</v>
      </c>
      <c r="B82" s="5">
        <v>0</v>
      </c>
      <c r="C82" s="5">
        <v>0</v>
      </c>
      <c r="D82" s="5">
        <v>1</v>
      </c>
      <c r="E82" s="5">
        <v>227</v>
      </c>
      <c r="F82" s="5">
        <f>ROUND(Source!AX75,O82)</f>
        <v>0</v>
      </c>
      <c r="G82" s="5" t="s">
        <v>48</v>
      </c>
      <c r="H82" s="5" t="s">
        <v>49</v>
      </c>
      <c r="I82" s="5"/>
      <c r="J82" s="5"/>
      <c r="K82" s="5">
        <v>227</v>
      </c>
      <c r="L82" s="5">
        <v>6</v>
      </c>
      <c r="M82" s="5">
        <v>3</v>
      </c>
      <c r="N82" s="5" t="s">
        <v>3</v>
      </c>
      <c r="O82" s="5">
        <v>2</v>
      </c>
      <c r="P82" s="5">
        <f>ROUND(Source!EP75,O82)</f>
        <v>0</v>
      </c>
      <c r="Q82" s="5"/>
      <c r="R82" s="5"/>
      <c r="S82" s="5"/>
      <c r="T82" s="5"/>
      <c r="U82" s="5"/>
      <c r="V82" s="5"/>
      <c r="W82" s="5"/>
    </row>
    <row r="83" spans="1:23" x14ac:dyDescent="0.2">
      <c r="A83" s="70">
        <v>50</v>
      </c>
      <c r="B83" s="5">
        <v>0</v>
      </c>
      <c r="C83" s="5">
        <v>0</v>
      </c>
      <c r="D83" s="5">
        <v>1</v>
      </c>
      <c r="E83" s="5">
        <v>228</v>
      </c>
      <c r="F83" s="5">
        <f>ROUND(Source!AY75,O83)</f>
        <v>0</v>
      </c>
      <c r="G83" s="5" t="s">
        <v>50</v>
      </c>
      <c r="H83" s="5" t="s">
        <v>51</v>
      </c>
      <c r="I83" s="5"/>
      <c r="J83" s="5"/>
      <c r="K83" s="5">
        <v>228</v>
      </c>
      <c r="L83" s="5">
        <v>7</v>
      </c>
      <c r="M83" s="5">
        <v>3</v>
      </c>
      <c r="N83" s="5" t="s">
        <v>3</v>
      </c>
      <c r="O83" s="5">
        <v>2</v>
      </c>
      <c r="P83" s="5">
        <f>ROUND(Source!EQ75,O83)</f>
        <v>0</v>
      </c>
      <c r="Q83" s="5"/>
      <c r="R83" s="5"/>
      <c r="S83" s="5"/>
      <c r="T83" s="5"/>
      <c r="U83" s="5"/>
      <c r="V83" s="5"/>
      <c r="W83" s="5"/>
    </row>
    <row r="84" spans="1:23" x14ac:dyDescent="0.2">
      <c r="A84" s="70">
        <v>50</v>
      </c>
      <c r="B84" s="5">
        <v>0</v>
      </c>
      <c r="C84" s="5">
        <v>0</v>
      </c>
      <c r="D84" s="5">
        <v>1</v>
      </c>
      <c r="E84" s="5">
        <v>216</v>
      </c>
      <c r="F84" s="5">
        <f>ROUND(Source!AP75,O84)</f>
        <v>0</v>
      </c>
      <c r="G84" s="5" t="s">
        <v>52</v>
      </c>
      <c r="H84" s="5" t="s">
        <v>53</v>
      </c>
      <c r="I84" s="5"/>
      <c r="J84" s="5"/>
      <c r="K84" s="5">
        <v>216</v>
      </c>
      <c r="L84" s="5">
        <v>8</v>
      </c>
      <c r="M84" s="5">
        <v>3</v>
      </c>
      <c r="N84" s="5" t="s">
        <v>3</v>
      </c>
      <c r="O84" s="5">
        <v>2</v>
      </c>
      <c r="P84" s="5">
        <f>ROUND(Source!EH75,O84)</f>
        <v>0</v>
      </c>
      <c r="Q84" s="5"/>
      <c r="R84" s="5"/>
      <c r="S84" s="5"/>
      <c r="T84" s="5"/>
      <c r="U84" s="5"/>
      <c r="V84" s="5"/>
      <c r="W84" s="5"/>
    </row>
    <row r="85" spans="1:23" x14ac:dyDescent="0.2">
      <c r="A85" s="70">
        <v>50</v>
      </c>
      <c r="B85" s="5">
        <v>0</v>
      </c>
      <c r="C85" s="5">
        <v>0</v>
      </c>
      <c r="D85" s="5">
        <v>1</v>
      </c>
      <c r="E85" s="5">
        <v>223</v>
      </c>
      <c r="F85" s="5">
        <f>ROUND(Source!AQ75,O85)</f>
        <v>0</v>
      </c>
      <c r="G85" s="5" t="s">
        <v>54</v>
      </c>
      <c r="H85" s="5" t="s">
        <v>55</v>
      </c>
      <c r="I85" s="5"/>
      <c r="J85" s="5"/>
      <c r="K85" s="5">
        <v>223</v>
      </c>
      <c r="L85" s="5">
        <v>9</v>
      </c>
      <c r="M85" s="5">
        <v>3</v>
      </c>
      <c r="N85" s="5" t="s">
        <v>3</v>
      </c>
      <c r="O85" s="5">
        <v>2</v>
      </c>
      <c r="P85" s="5">
        <f>ROUND(Source!EI75,O85)</f>
        <v>0</v>
      </c>
      <c r="Q85" s="5"/>
      <c r="R85" s="5"/>
      <c r="S85" s="5"/>
      <c r="T85" s="5"/>
      <c r="U85" s="5"/>
      <c r="V85" s="5"/>
      <c r="W85" s="5"/>
    </row>
    <row r="86" spans="1:23" x14ac:dyDescent="0.2">
      <c r="A86" s="70">
        <v>50</v>
      </c>
      <c r="B86" s="5">
        <v>0</v>
      </c>
      <c r="C86" s="5">
        <v>0</v>
      </c>
      <c r="D86" s="5">
        <v>1</v>
      </c>
      <c r="E86" s="5">
        <v>229</v>
      </c>
      <c r="F86" s="5">
        <f>ROUND(Source!AZ75,O86)</f>
        <v>0</v>
      </c>
      <c r="G86" s="5" t="s">
        <v>56</v>
      </c>
      <c r="H86" s="5" t="s">
        <v>57</v>
      </c>
      <c r="I86" s="5"/>
      <c r="J86" s="5"/>
      <c r="K86" s="5">
        <v>229</v>
      </c>
      <c r="L86" s="5">
        <v>10</v>
      </c>
      <c r="M86" s="5">
        <v>3</v>
      </c>
      <c r="N86" s="5" t="s">
        <v>3</v>
      </c>
      <c r="O86" s="5">
        <v>2</v>
      </c>
      <c r="P86" s="5">
        <f>ROUND(Source!ER75,O86)</f>
        <v>0</v>
      </c>
      <c r="Q86" s="5"/>
      <c r="R86" s="5"/>
      <c r="S86" s="5"/>
      <c r="T86" s="5"/>
      <c r="U86" s="5"/>
      <c r="V86" s="5"/>
      <c r="W86" s="5"/>
    </row>
    <row r="87" spans="1:23" x14ac:dyDescent="0.2">
      <c r="A87" s="70">
        <v>50</v>
      </c>
      <c r="B87" s="5">
        <v>0</v>
      </c>
      <c r="C87" s="5">
        <v>0</v>
      </c>
      <c r="D87" s="5">
        <v>1</v>
      </c>
      <c r="E87" s="5">
        <v>203</v>
      </c>
      <c r="F87" s="5">
        <f>ROUND(Source!Q75,O87)</f>
        <v>30.64</v>
      </c>
      <c r="G87" s="5" t="s">
        <v>58</v>
      </c>
      <c r="H87" s="5" t="s">
        <v>59</v>
      </c>
      <c r="I87" s="5"/>
      <c r="J87" s="5"/>
      <c r="K87" s="5">
        <v>203</v>
      </c>
      <c r="L87" s="5">
        <v>11</v>
      </c>
      <c r="M87" s="5">
        <v>3</v>
      </c>
      <c r="N87" s="5" t="s">
        <v>3</v>
      </c>
      <c r="O87" s="5">
        <v>2</v>
      </c>
      <c r="P87" s="5">
        <f>ROUND(Source!DI75,O87)</f>
        <v>287.68</v>
      </c>
      <c r="Q87" s="5"/>
      <c r="R87" s="5"/>
      <c r="S87" s="5"/>
      <c r="T87" s="5"/>
      <c r="U87" s="5"/>
      <c r="V87" s="5"/>
      <c r="W87" s="5"/>
    </row>
    <row r="88" spans="1:23" x14ac:dyDescent="0.2">
      <c r="A88" s="70">
        <v>50</v>
      </c>
      <c r="B88" s="5">
        <v>0</v>
      </c>
      <c r="C88" s="5">
        <v>0</v>
      </c>
      <c r="D88" s="5">
        <v>1</v>
      </c>
      <c r="E88" s="5">
        <v>231</v>
      </c>
      <c r="F88" s="5">
        <f>ROUND(Source!BB75,O88)</f>
        <v>0</v>
      </c>
      <c r="G88" s="5" t="s">
        <v>60</v>
      </c>
      <c r="H88" s="5" t="s">
        <v>61</v>
      </c>
      <c r="I88" s="5"/>
      <c r="J88" s="5"/>
      <c r="K88" s="5">
        <v>231</v>
      </c>
      <c r="L88" s="5">
        <v>12</v>
      </c>
      <c r="M88" s="5">
        <v>3</v>
      </c>
      <c r="N88" s="5" t="s">
        <v>3</v>
      </c>
      <c r="O88" s="5">
        <v>2</v>
      </c>
      <c r="P88" s="5">
        <f>ROUND(Source!ET75,O88)</f>
        <v>0</v>
      </c>
      <c r="Q88" s="5"/>
      <c r="R88" s="5"/>
      <c r="S88" s="5"/>
      <c r="T88" s="5"/>
      <c r="U88" s="5"/>
      <c r="V88" s="5"/>
      <c r="W88" s="5"/>
    </row>
    <row r="89" spans="1:23" x14ac:dyDescent="0.2">
      <c r="A89" s="70">
        <v>50</v>
      </c>
      <c r="B89" s="5">
        <v>0</v>
      </c>
      <c r="C89" s="5">
        <v>0</v>
      </c>
      <c r="D89" s="5">
        <v>1</v>
      </c>
      <c r="E89" s="5">
        <v>204</v>
      </c>
      <c r="F89" s="5">
        <f>ROUND(Source!R75,O89)</f>
        <v>6.97</v>
      </c>
      <c r="G89" s="5" t="s">
        <v>62</v>
      </c>
      <c r="H89" s="5" t="s">
        <v>63</v>
      </c>
      <c r="I89" s="5"/>
      <c r="J89" s="5"/>
      <c r="K89" s="5">
        <v>204</v>
      </c>
      <c r="L89" s="5">
        <v>13</v>
      </c>
      <c r="M89" s="5">
        <v>3</v>
      </c>
      <c r="N89" s="5" t="s">
        <v>3</v>
      </c>
      <c r="O89" s="5">
        <v>2</v>
      </c>
      <c r="P89" s="5">
        <f>ROUND(Source!DJ75,O89)</f>
        <v>210.63</v>
      </c>
      <c r="Q89" s="5"/>
      <c r="R89" s="5"/>
      <c r="S89" s="5"/>
      <c r="T89" s="5"/>
      <c r="U89" s="5"/>
      <c r="V89" s="5"/>
      <c r="W89" s="5"/>
    </row>
    <row r="90" spans="1:23" x14ac:dyDescent="0.2">
      <c r="A90" s="70">
        <v>50</v>
      </c>
      <c r="B90" s="5">
        <v>0</v>
      </c>
      <c r="C90" s="5">
        <v>0</v>
      </c>
      <c r="D90" s="5">
        <v>1</v>
      </c>
      <c r="E90" s="5">
        <v>205</v>
      </c>
      <c r="F90" s="5">
        <f>ROUND(Source!S75,O90)</f>
        <v>2194.48</v>
      </c>
      <c r="G90" s="5" t="s">
        <v>64</v>
      </c>
      <c r="H90" s="5" t="s">
        <v>65</v>
      </c>
      <c r="I90" s="5"/>
      <c r="J90" s="5"/>
      <c r="K90" s="5">
        <v>205</v>
      </c>
      <c r="L90" s="5">
        <v>14</v>
      </c>
      <c r="M90" s="5">
        <v>3</v>
      </c>
      <c r="N90" s="5" t="s">
        <v>3</v>
      </c>
      <c r="O90" s="5">
        <v>2</v>
      </c>
      <c r="P90" s="5">
        <f>ROUND(Source!DK75,O90)</f>
        <v>66361.119999999995</v>
      </c>
      <c r="Q90" s="5"/>
      <c r="R90" s="5"/>
      <c r="S90" s="5"/>
      <c r="T90" s="5"/>
      <c r="U90" s="5"/>
      <c r="V90" s="5"/>
      <c r="W90" s="5"/>
    </row>
    <row r="91" spans="1:23" x14ac:dyDescent="0.2">
      <c r="A91" s="70">
        <v>50</v>
      </c>
      <c r="B91" s="5">
        <v>0</v>
      </c>
      <c r="C91" s="5">
        <v>0</v>
      </c>
      <c r="D91" s="5">
        <v>1</v>
      </c>
      <c r="E91" s="5">
        <v>232</v>
      </c>
      <c r="F91" s="5">
        <f>ROUND(Source!BC75,O91)</f>
        <v>0</v>
      </c>
      <c r="G91" s="5" t="s">
        <v>66</v>
      </c>
      <c r="H91" s="5" t="s">
        <v>67</v>
      </c>
      <c r="I91" s="5"/>
      <c r="J91" s="5"/>
      <c r="K91" s="5">
        <v>232</v>
      </c>
      <c r="L91" s="5">
        <v>15</v>
      </c>
      <c r="M91" s="5">
        <v>3</v>
      </c>
      <c r="N91" s="5" t="s">
        <v>3</v>
      </c>
      <c r="O91" s="5">
        <v>2</v>
      </c>
      <c r="P91" s="5">
        <f>ROUND(Source!EU75,O91)</f>
        <v>0</v>
      </c>
      <c r="Q91" s="5"/>
      <c r="R91" s="5"/>
      <c r="S91" s="5"/>
      <c r="T91" s="5"/>
      <c r="U91" s="5"/>
      <c r="V91" s="5"/>
      <c r="W91" s="5"/>
    </row>
    <row r="92" spans="1:23" x14ac:dyDescent="0.2">
      <c r="A92" s="70">
        <v>50</v>
      </c>
      <c r="B92" s="5">
        <v>0</v>
      </c>
      <c r="C92" s="5">
        <v>0</v>
      </c>
      <c r="D92" s="5">
        <v>1</v>
      </c>
      <c r="E92" s="5">
        <v>214</v>
      </c>
      <c r="F92" s="5">
        <f>ROUND(Source!AS75,O92)</f>
        <v>6061.55</v>
      </c>
      <c r="G92" s="5" t="s">
        <v>68</v>
      </c>
      <c r="H92" s="5" t="s">
        <v>69</v>
      </c>
      <c r="I92" s="5"/>
      <c r="J92" s="5"/>
      <c r="K92" s="5">
        <v>214</v>
      </c>
      <c r="L92" s="5">
        <v>16</v>
      </c>
      <c r="M92" s="5">
        <v>3</v>
      </c>
      <c r="N92" s="5" t="s">
        <v>3</v>
      </c>
      <c r="O92" s="5">
        <v>2</v>
      </c>
      <c r="P92" s="5">
        <f>ROUND(Source!EK75,O92)</f>
        <v>182662.24</v>
      </c>
      <c r="Q92" s="5"/>
      <c r="R92" s="5"/>
      <c r="S92" s="5"/>
      <c r="T92" s="5"/>
      <c r="U92" s="5"/>
      <c r="V92" s="5"/>
      <c r="W92" s="5"/>
    </row>
    <row r="93" spans="1:23" x14ac:dyDescent="0.2">
      <c r="A93" s="70">
        <v>50</v>
      </c>
      <c r="B93" s="5">
        <v>0</v>
      </c>
      <c r="C93" s="5">
        <v>0</v>
      </c>
      <c r="D93" s="5">
        <v>1</v>
      </c>
      <c r="E93" s="5">
        <v>215</v>
      </c>
      <c r="F93" s="5">
        <f>ROUND(Source!AT75,O93)</f>
        <v>0</v>
      </c>
      <c r="G93" s="5" t="s">
        <v>70</v>
      </c>
      <c r="H93" s="5" t="s">
        <v>71</v>
      </c>
      <c r="I93" s="5"/>
      <c r="J93" s="5"/>
      <c r="K93" s="5">
        <v>215</v>
      </c>
      <c r="L93" s="5">
        <v>17</v>
      </c>
      <c r="M93" s="5">
        <v>3</v>
      </c>
      <c r="N93" s="5" t="s">
        <v>3</v>
      </c>
      <c r="O93" s="5">
        <v>2</v>
      </c>
      <c r="P93" s="5">
        <f>ROUND(Source!EL75,O93)</f>
        <v>0</v>
      </c>
      <c r="Q93" s="5"/>
      <c r="R93" s="5"/>
      <c r="S93" s="5"/>
      <c r="T93" s="5"/>
      <c r="U93" s="5"/>
      <c r="V93" s="5"/>
      <c r="W93" s="5"/>
    </row>
    <row r="94" spans="1:23" x14ac:dyDescent="0.2">
      <c r="A94" s="70">
        <v>50</v>
      </c>
      <c r="B94" s="5">
        <v>0</v>
      </c>
      <c r="C94" s="5">
        <v>0</v>
      </c>
      <c r="D94" s="5">
        <v>1</v>
      </c>
      <c r="E94" s="5">
        <v>217</v>
      </c>
      <c r="F94" s="5">
        <f>ROUND(Source!AU75,O94)</f>
        <v>0</v>
      </c>
      <c r="G94" s="5" t="s">
        <v>72</v>
      </c>
      <c r="H94" s="5" t="s">
        <v>73</v>
      </c>
      <c r="I94" s="5"/>
      <c r="J94" s="5"/>
      <c r="K94" s="5">
        <v>217</v>
      </c>
      <c r="L94" s="5">
        <v>18</v>
      </c>
      <c r="M94" s="5">
        <v>3</v>
      </c>
      <c r="N94" s="5" t="s">
        <v>3</v>
      </c>
      <c r="O94" s="5">
        <v>2</v>
      </c>
      <c r="P94" s="5">
        <f>ROUND(Source!EM75,O94)</f>
        <v>0</v>
      </c>
      <c r="Q94" s="5"/>
      <c r="R94" s="5"/>
      <c r="S94" s="5"/>
      <c r="T94" s="5"/>
      <c r="U94" s="5"/>
      <c r="V94" s="5"/>
      <c r="W94" s="5"/>
    </row>
    <row r="95" spans="1:23" x14ac:dyDescent="0.2">
      <c r="A95" s="70">
        <v>50</v>
      </c>
      <c r="B95" s="5">
        <v>0</v>
      </c>
      <c r="C95" s="5">
        <v>0</v>
      </c>
      <c r="D95" s="5">
        <v>1</v>
      </c>
      <c r="E95" s="5">
        <v>230</v>
      </c>
      <c r="F95" s="5">
        <f>ROUND(Source!BA75,O95)</f>
        <v>0</v>
      </c>
      <c r="G95" s="5" t="s">
        <v>74</v>
      </c>
      <c r="H95" s="5" t="s">
        <v>75</v>
      </c>
      <c r="I95" s="5"/>
      <c r="J95" s="5"/>
      <c r="K95" s="5">
        <v>230</v>
      </c>
      <c r="L95" s="5">
        <v>19</v>
      </c>
      <c r="M95" s="5">
        <v>3</v>
      </c>
      <c r="N95" s="5" t="s">
        <v>3</v>
      </c>
      <c r="O95" s="5">
        <v>2</v>
      </c>
      <c r="P95" s="5">
        <f>ROUND(Source!ES75,O95)</f>
        <v>0</v>
      </c>
      <c r="Q95" s="5"/>
      <c r="R95" s="5"/>
      <c r="S95" s="5"/>
      <c r="T95" s="5"/>
      <c r="U95" s="5"/>
      <c r="V95" s="5"/>
      <c r="W95" s="5"/>
    </row>
    <row r="96" spans="1:23" x14ac:dyDescent="0.2">
      <c r="A96" s="70">
        <v>50</v>
      </c>
      <c r="B96" s="5">
        <v>0</v>
      </c>
      <c r="C96" s="5">
        <v>0</v>
      </c>
      <c r="D96" s="5">
        <v>1</v>
      </c>
      <c r="E96" s="5">
        <v>206</v>
      </c>
      <c r="F96" s="5">
        <f>ROUND(Source!T75,O96)</f>
        <v>0</v>
      </c>
      <c r="G96" s="5" t="s">
        <v>76</v>
      </c>
      <c r="H96" s="5" t="s">
        <v>77</v>
      </c>
      <c r="I96" s="5"/>
      <c r="J96" s="5"/>
      <c r="K96" s="5">
        <v>206</v>
      </c>
      <c r="L96" s="5">
        <v>20</v>
      </c>
      <c r="M96" s="5">
        <v>3</v>
      </c>
      <c r="N96" s="5" t="s">
        <v>3</v>
      </c>
      <c r="O96" s="5">
        <v>2</v>
      </c>
      <c r="P96" s="5">
        <f>ROUND(Source!DL75,O96)</f>
        <v>0</v>
      </c>
      <c r="Q96" s="5"/>
      <c r="R96" s="5"/>
      <c r="S96" s="5"/>
      <c r="T96" s="5"/>
      <c r="U96" s="5"/>
      <c r="V96" s="5"/>
      <c r="W96" s="5"/>
    </row>
    <row r="97" spans="1:255" x14ac:dyDescent="0.2">
      <c r="A97" s="70">
        <v>50</v>
      </c>
      <c r="B97" s="5">
        <v>0</v>
      </c>
      <c r="C97" s="5">
        <v>0</v>
      </c>
      <c r="D97" s="5">
        <v>1</v>
      </c>
      <c r="E97" s="5">
        <v>207</v>
      </c>
      <c r="F97" s="5">
        <f>Source!U75</f>
        <v>269.31319506</v>
      </c>
      <c r="G97" s="5" t="s">
        <v>78</v>
      </c>
      <c r="H97" s="5" t="s">
        <v>79</v>
      </c>
      <c r="I97" s="5"/>
      <c r="J97" s="5"/>
      <c r="K97" s="5">
        <v>207</v>
      </c>
      <c r="L97" s="5">
        <v>21</v>
      </c>
      <c r="M97" s="5">
        <v>3</v>
      </c>
      <c r="N97" s="5" t="s">
        <v>3</v>
      </c>
      <c r="O97" s="5">
        <v>-1</v>
      </c>
      <c r="P97" s="5">
        <f>Source!DM75</f>
        <v>269.31319506</v>
      </c>
      <c r="Q97" s="5"/>
      <c r="R97" s="5"/>
      <c r="S97" s="5"/>
      <c r="T97" s="5"/>
      <c r="U97" s="5"/>
      <c r="V97" s="5"/>
      <c r="W97" s="5"/>
    </row>
    <row r="98" spans="1:255" x14ac:dyDescent="0.2">
      <c r="A98" s="70">
        <v>50</v>
      </c>
      <c r="B98" s="5">
        <v>0</v>
      </c>
      <c r="C98" s="5">
        <v>0</v>
      </c>
      <c r="D98" s="5">
        <v>1</v>
      </c>
      <c r="E98" s="5">
        <v>208</v>
      </c>
      <c r="F98" s="5">
        <f>Source!V75</f>
        <v>0.57137429999999989</v>
      </c>
      <c r="G98" s="5" t="s">
        <v>80</v>
      </c>
      <c r="H98" s="5" t="s">
        <v>81</v>
      </c>
      <c r="I98" s="5"/>
      <c r="J98" s="5"/>
      <c r="K98" s="5">
        <v>208</v>
      </c>
      <c r="L98" s="5">
        <v>22</v>
      </c>
      <c r="M98" s="5">
        <v>3</v>
      </c>
      <c r="N98" s="5" t="s">
        <v>3</v>
      </c>
      <c r="O98" s="5">
        <v>-1</v>
      </c>
      <c r="P98" s="5">
        <f>Source!DN75</f>
        <v>0.57137429999999989</v>
      </c>
      <c r="Q98" s="5"/>
      <c r="R98" s="5"/>
      <c r="S98" s="5"/>
      <c r="T98" s="5"/>
      <c r="U98" s="5"/>
      <c r="V98" s="5"/>
      <c r="W98" s="5"/>
    </row>
    <row r="99" spans="1:255" x14ac:dyDescent="0.2">
      <c r="A99" s="70">
        <v>50</v>
      </c>
      <c r="B99" s="5">
        <v>0</v>
      </c>
      <c r="C99" s="5">
        <v>0</v>
      </c>
      <c r="D99" s="5">
        <v>1</v>
      </c>
      <c r="E99" s="5">
        <v>209</v>
      </c>
      <c r="F99" s="5">
        <f>ROUND(Source!W75,O99)</f>
        <v>0</v>
      </c>
      <c r="G99" s="5" t="s">
        <v>82</v>
      </c>
      <c r="H99" s="5" t="s">
        <v>83</v>
      </c>
      <c r="I99" s="5"/>
      <c r="J99" s="5"/>
      <c r="K99" s="5">
        <v>209</v>
      </c>
      <c r="L99" s="5">
        <v>23</v>
      </c>
      <c r="M99" s="5">
        <v>3</v>
      </c>
      <c r="N99" s="5" t="s">
        <v>3</v>
      </c>
      <c r="O99" s="5">
        <v>2</v>
      </c>
      <c r="P99" s="5">
        <f>ROUND(Source!DO75,O99)</f>
        <v>0</v>
      </c>
      <c r="Q99" s="5"/>
      <c r="R99" s="5"/>
      <c r="S99" s="5"/>
      <c r="T99" s="5"/>
      <c r="U99" s="5"/>
      <c r="V99" s="5"/>
      <c r="W99" s="5"/>
    </row>
    <row r="100" spans="1:255" x14ac:dyDescent="0.2">
      <c r="A100" s="70">
        <v>50</v>
      </c>
      <c r="B100" s="5">
        <v>0</v>
      </c>
      <c r="C100" s="5">
        <v>0</v>
      </c>
      <c r="D100" s="5">
        <v>1</v>
      </c>
      <c r="E100" s="5">
        <v>210</v>
      </c>
      <c r="F100" s="5">
        <f>ROUND(Source!X75,O100)</f>
        <v>2390.0500000000002</v>
      </c>
      <c r="G100" s="5" t="s">
        <v>84</v>
      </c>
      <c r="H100" s="5" t="s">
        <v>85</v>
      </c>
      <c r="I100" s="5"/>
      <c r="J100" s="5"/>
      <c r="K100" s="5">
        <v>210</v>
      </c>
      <c r="L100" s="5">
        <v>24</v>
      </c>
      <c r="M100" s="5">
        <v>3</v>
      </c>
      <c r="N100" s="5" t="s">
        <v>3</v>
      </c>
      <c r="O100" s="5">
        <v>2</v>
      </c>
      <c r="P100" s="5">
        <f>ROUND(Source!DP75,O100)</f>
        <v>72275</v>
      </c>
      <c r="Q100" s="5"/>
      <c r="R100" s="5"/>
      <c r="S100" s="5"/>
      <c r="T100" s="5"/>
      <c r="U100" s="5"/>
      <c r="V100" s="5"/>
      <c r="W100" s="5"/>
    </row>
    <row r="101" spans="1:255" x14ac:dyDescent="0.2">
      <c r="A101" s="70">
        <v>50</v>
      </c>
      <c r="B101" s="5">
        <v>0</v>
      </c>
      <c r="C101" s="5">
        <v>0</v>
      </c>
      <c r="D101" s="5">
        <v>1</v>
      </c>
      <c r="E101" s="5">
        <v>211</v>
      </c>
      <c r="F101" s="5">
        <f>ROUND(Source!Y75,O101)</f>
        <v>1446.38</v>
      </c>
      <c r="G101" s="5" t="s">
        <v>86</v>
      </c>
      <c r="H101" s="5" t="s">
        <v>87</v>
      </c>
      <c r="I101" s="5"/>
      <c r="J101" s="5"/>
      <c r="K101" s="5">
        <v>211</v>
      </c>
      <c r="L101" s="5">
        <v>25</v>
      </c>
      <c r="M101" s="5">
        <v>3</v>
      </c>
      <c r="N101" s="5" t="s">
        <v>3</v>
      </c>
      <c r="O101" s="5">
        <v>2</v>
      </c>
      <c r="P101" s="5">
        <f>ROUND(Source!DQ75,O101)</f>
        <v>43738.44</v>
      </c>
      <c r="Q101" s="5"/>
      <c r="R101" s="5"/>
      <c r="S101" s="5"/>
      <c r="T101" s="5"/>
      <c r="U101" s="5"/>
      <c r="V101" s="5"/>
      <c r="W101" s="5"/>
    </row>
    <row r="102" spans="1:255" x14ac:dyDescent="0.2">
      <c r="A102" s="70">
        <v>50</v>
      </c>
      <c r="B102" s="5">
        <v>0</v>
      </c>
      <c r="C102" s="5">
        <v>0</v>
      </c>
      <c r="D102" s="5">
        <v>1</v>
      </c>
      <c r="E102" s="5">
        <v>224</v>
      </c>
      <c r="F102" s="5">
        <f>ROUND(Source!AR75,O102)</f>
        <v>6061.55</v>
      </c>
      <c r="G102" s="5" t="s">
        <v>88</v>
      </c>
      <c r="H102" s="5" t="s">
        <v>89</v>
      </c>
      <c r="I102" s="5"/>
      <c r="J102" s="5"/>
      <c r="K102" s="5">
        <v>224</v>
      </c>
      <c r="L102" s="5">
        <v>26</v>
      </c>
      <c r="M102" s="5">
        <v>3</v>
      </c>
      <c r="N102" s="5" t="s">
        <v>3</v>
      </c>
      <c r="O102" s="5">
        <v>2</v>
      </c>
      <c r="P102" s="5">
        <f>ROUND(Source!EJ75,O102)</f>
        <v>182662.24</v>
      </c>
      <c r="Q102" s="5"/>
      <c r="R102" s="5"/>
      <c r="S102" s="5"/>
      <c r="T102" s="5"/>
      <c r="U102" s="5"/>
      <c r="V102" s="5"/>
      <c r="W102" s="5"/>
    </row>
    <row r="104" spans="1:255" x14ac:dyDescent="0.2">
      <c r="A104" s="67">
        <v>4</v>
      </c>
      <c r="B104" s="1">
        <v>1</v>
      </c>
      <c r="C104" s="1"/>
      <c r="D104" s="1">
        <f>ROW(A115)</f>
        <v>115</v>
      </c>
      <c r="E104" s="1"/>
      <c r="F104" s="1" t="s">
        <v>14</v>
      </c>
      <c r="G104" s="1" t="s">
        <v>93</v>
      </c>
      <c r="H104" s="1" t="s">
        <v>3</v>
      </c>
      <c r="I104" s="1">
        <v>0</v>
      </c>
      <c r="J104" s="1"/>
      <c r="K104" s="1">
        <v>-1</v>
      </c>
      <c r="L104" s="1"/>
      <c r="M104" s="1"/>
      <c r="N104" s="1"/>
      <c r="O104" s="1"/>
      <c r="P104" s="1"/>
      <c r="Q104" s="1"/>
      <c r="R104" s="1"/>
      <c r="S104" s="1"/>
      <c r="T104" s="1"/>
      <c r="U104" s="1" t="s">
        <v>3</v>
      </c>
      <c r="V104" s="1">
        <v>0</v>
      </c>
      <c r="W104" s="1"/>
      <c r="X104" s="1"/>
      <c r="Y104" s="1"/>
      <c r="Z104" s="1"/>
      <c r="AA104" s="1"/>
      <c r="AB104" s="1" t="s">
        <v>3</v>
      </c>
      <c r="AC104" s="1" t="s">
        <v>3</v>
      </c>
      <c r="AD104" s="1" t="s">
        <v>3</v>
      </c>
      <c r="AE104" s="1" t="s">
        <v>3</v>
      </c>
      <c r="AF104" s="1" t="s">
        <v>3</v>
      </c>
      <c r="AG104" s="1" t="s">
        <v>3</v>
      </c>
      <c r="AH104" s="1"/>
      <c r="AI104" s="1"/>
      <c r="AJ104" s="1"/>
      <c r="AK104" s="1"/>
      <c r="AL104" s="1"/>
      <c r="AM104" s="1"/>
      <c r="AN104" s="1"/>
      <c r="AO104" s="1"/>
      <c r="AP104" s="1" t="s">
        <v>3</v>
      </c>
      <c r="AQ104" s="1" t="s">
        <v>3</v>
      </c>
      <c r="AR104" s="1" t="s">
        <v>3</v>
      </c>
      <c r="AS104" s="1"/>
      <c r="AT104" s="1"/>
      <c r="AU104" s="1"/>
      <c r="AV104" s="1"/>
      <c r="AW104" s="1"/>
      <c r="AX104" s="1"/>
      <c r="AY104" s="1"/>
      <c r="AZ104" s="1" t="s">
        <v>3</v>
      </c>
      <c r="BA104" s="1"/>
      <c r="BB104" s="1" t="s">
        <v>3</v>
      </c>
      <c r="BC104" s="1" t="s">
        <v>3</v>
      </c>
      <c r="BD104" s="1" t="s">
        <v>3</v>
      </c>
      <c r="BE104" s="1" t="s">
        <v>3</v>
      </c>
      <c r="BF104" s="1" t="s">
        <v>3</v>
      </c>
      <c r="BG104" s="1" t="s">
        <v>3</v>
      </c>
      <c r="BH104" s="1" t="s">
        <v>3</v>
      </c>
      <c r="BI104" s="1" t="s">
        <v>3</v>
      </c>
      <c r="BJ104" s="1" t="s">
        <v>3</v>
      </c>
      <c r="BK104" s="1" t="s">
        <v>3</v>
      </c>
      <c r="BL104" s="1" t="s">
        <v>3</v>
      </c>
      <c r="BM104" s="1" t="s">
        <v>3</v>
      </c>
      <c r="BN104" s="1" t="s">
        <v>3</v>
      </c>
      <c r="BO104" s="1" t="s">
        <v>3</v>
      </c>
      <c r="BP104" s="1" t="s">
        <v>3</v>
      </c>
      <c r="BQ104" s="1"/>
      <c r="BR104" s="1"/>
      <c r="BS104" s="1"/>
      <c r="BT104" s="1"/>
      <c r="BU104" s="1"/>
      <c r="BV104" s="1"/>
      <c r="BW104" s="1"/>
      <c r="BX104" s="1">
        <v>0</v>
      </c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>
        <v>0</v>
      </c>
    </row>
    <row r="106" spans="1:255" x14ac:dyDescent="0.2">
      <c r="A106" s="68">
        <v>52</v>
      </c>
      <c r="B106" s="3">
        <f t="shared" ref="B106:G106" si="94">B115</f>
        <v>1</v>
      </c>
      <c r="C106" s="3">
        <f t="shared" si="94"/>
        <v>4</v>
      </c>
      <c r="D106" s="3">
        <f t="shared" si="94"/>
        <v>104</v>
      </c>
      <c r="E106" s="3">
        <f t="shared" si="94"/>
        <v>0</v>
      </c>
      <c r="F106" s="3" t="str">
        <f t="shared" si="94"/>
        <v>Новый раздел</v>
      </c>
      <c r="G106" s="3" t="str">
        <f t="shared" si="94"/>
        <v>№3  Прочие работы.</v>
      </c>
      <c r="H106" s="3"/>
      <c r="I106" s="3"/>
      <c r="J106" s="3"/>
      <c r="K106" s="3"/>
      <c r="L106" s="3"/>
      <c r="M106" s="3"/>
      <c r="N106" s="3"/>
      <c r="O106" s="3">
        <f t="shared" ref="O106:AT106" si="95">O115</f>
        <v>41822.76</v>
      </c>
      <c r="P106" s="3">
        <f t="shared" si="95"/>
        <v>40285.18</v>
      </c>
      <c r="Q106" s="3">
        <f t="shared" si="95"/>
        <v>0</v>
      </c>
      <c r="R106" s="3">
        <f t="shared" si="95"/>
        <v>0</v>
      </c>
      <c r="S106" s="3">
        <f t="shared" si="95"/>
        <v>1537.58</v>
      </c>
      <c r="T106" s="3">
        <f t="shared" si="95"/>
        <v>0</v>
      </c>
      <c r="U106" s="3">
        <f t="shared" si="95"/>
        <v>213.72499999999999</v>
      </c>
      <c r="V106" s="3">
        <f t="shared" si="95"/>
        <v>0</v>
      </c>
      <c r="W106" s="3">
        <f t="shared" si="95"/>
        <v>0</v>
      </c>
      <c r="X106" s="3">
        <f t="shared" si="95"/>
        <v>1199.31</v>
      </c>
      <c r="Y106" s="3">
        <f t="shared" si="95"/>
        <v>768.79</v>
      </c>
      <c r="Z106" s="3">
        <f t="shared" si="95"/>
        <v>0</v>
      </c>
      <c r="AA106" s="3">
        <f t="shared" si="95"/>
        <v>0</v>
      </c>
      <c r="AB106" s="3">
        <f t="shared" si="95"/>
        <v>41822.76</v>
      </c>
      <c r="AC106" s="3">
        <f t="shared" si="95"/>
        <v>40285.18</v>
      </c>
      <c r="AD106" s="3">
        <f t="shared" si="95"/>
        <v>0</v>
      </c>
      <c r="AE106" s="3">
        <f t="shared" si="95"/>
        <v>0</v>
      </c>
      <c r="AF106" s="3">
        <f t="shared" si="95"/>
        <v>1537.58</v>
      </c>
      <c r="AG106" s="3">
        <f t="shared" si="95"/>
        <v>0</v>
      </c>
      <c r="AH106" s="3">
        <f t="shared" si="95"/>
        <v>213.72499999999999</v>
      </c>
      <c r="AI106" s="3">
        <f t="shared" si="95"/>
        <v>0</v>
      </c>
      <c r="AJ106" s="3">
        <f t="shared" si="95"/>
        <v>0</v>
      </c>
      <c r="AK106" s="3">
        <f t="shared" si="95"/>
        <v>1199.31</v>
      </c>
      <c r="AL106" s="3">
        <f t="shared" si="95"/>
        <v>768.79</v>
      </c>
      <c r="AM106" s="3">
        <f t="shared" si="95"/>
        <v>0</v>
      </c>
      <c r="AN106" s="3">
        <f t="shared" si="95"/>
        <v>0</v>
      </c>
      <c r="AO106" s="3">
        <f t="shared" si="95"/>
        <v>0</v>
      </c>
      <c r="AP106" s="3">
        <f t="shared" si="95"/>
        <v>0</v>
      </c>
      <c r="AQ106" s="3">
        <f t="shared" si="95"/>
        <v>0</v>
      </c>
      <c r="AR106" s="3">
        <f t="shared" si="95"/>
        <v>47515.49</v>
      </c>
      <c r="AS106" s="3">
        <f t="shared" si="95"/>
        <v>10633.31</v>
      </c>
      <c r="AT106" s="3">
        <f t="shared" si="95"/>
        <v>0</v>
      </c>
      <c r="AU106" s="3">
        <f t="shared" ref="AU106:BZ106" si="96">AU115</f>
        <v>36882.18</v>
      </c>
      <c r="AV106" s="3">
        <f t="shared" si="96"/>
        <v>40285.18</v>
      </c>
      <c r="AW106" s="3">
        <f t="shared" si="96"/>
        <v>40285.18</v>
      </c>
      <c r="AX106" s="3">
        <f t="shared" si="96"/>
        <v>0</v>
      </c>
      <c r="AY106" s="3">
        <f t="shared" si="96"/>
        <v>40285.18</v>
      </c>
      <c r="AZ106" s="3">
        <f t="shared" si="96"/>
        <v>0</v>
      </c>
      <c r="BA106" s="3">
        <f t="shared" si="96"/>
        <v>0</v>
      </c>
      <c r="BB106" s="3">
        <f t="shared" si="96"/>
        <v>0</v>
      </c>
      <c r="BC106" s="3">
        <f t="shared" si="96"/>
        <v>0</v>
      </c>
      <c r="BD106" s="3">
        <f t="shared" si="96"/>
        <v>0</v>
      </c>
      <c r="BE106" s="3">
        <f t="shared" si="96"/>
        <v>0</v>
      </c>
      <c r="BF106" s="3">
        <f t="shared" si="96"/>
        <v>0</v>
      </c>
      <c r="BG106" s="3">
        <f t="shared" si="96"/>
        <v>0</v>
      </c>
      <c r="BH106" s="3">
        <f t="shared" si="96"/>
        <v>0</v>
      </c>
      <c r="BI106" s="3">
        <f t="shared" si="96"/>
        <v>0</v>
      </c>
      <c r="BJ106" s="3">
        <f t="shared" si="96"/>
        <v>0</v>
      </c>
      <c r="BK106" s="3">
        <f t="shared" si="96"/>
        <v>0</v>
      </c>
      <c r="BL106" s="3">
        <f t="shared" si="96"/>
        <v>0</v>
      </c>
      <c r="BM106" s="3">
        <f t="shared" si="96"/>
        <v>0</v>
      </c>
      <c r="BN106" s="3">
        <f t="shared" si="96"/>
        <v>0</v>
      </c>
      <c r="BO106" s="3">
        <f t="shared" si="96"/>
        <v>0</v>
      </c>
      <c r="BP106" s="3">
        <f t="shared" si="96"/>
        <v>0</v>
      </c>
      <c r="BQ106" s="3">
        <f t="shared" si="96"/>
        <v>0</v>
      </c>
      <c r="BR106" s="3">
        <f t="shared" si="96"/>
        <v>0</v>
      </c>
      <c r="BS106" s="3">
        <f t="shared" si="96"/>
        <v>0</v>
      </c>
      <c r="BT106" s="3">
        <f t="shared" si="96"/>
        <v>0</v>
      </c>
      <c r="BU106" s="3">
        <f t="shared" si="96"/>
        <v>0</v>
      </c>
      <c r="BV106" s="3">
        <f t="shared" si="96"/>
        <v>0</v>
      </c>
      <c r="BW106" s="3">
        <f t="shared" si="96"/>
        <v>0</v>
      </c>
      <c r="BX106" s="3">
        <f t="shared" si="96"/>
        <v>0</v>
      </c>
      <c r="BY106" s="3">
        <f t="shared" si="96"/>
        <v>0</v>
      </c>
      <c r="BZ106" s="3">
        <f t="shared" si="96"/>
        <v>0</v>
      </c>
      <c r="CA106" s="3">
        <f t="shared" ref="CA106:DF106" si="97">CA115</f>
        <v>47515.49</v>
      </c>
      <c r="CB106" s="3">
        <f t="shared" si="97"/>
        <v>10633.31</v>
      </c>
      <c r="CC106" s="3">
        <f t="shared" si="97"/>
        <v>0</v>
      </c>
      <c r="CD106" s="3">
        <f t="shared" si="97"/>
        <v>36882.18</v>
      </c>
      <c r="CE106" s="3">
        <f t="shared" si="97"/>
        <v>40285.18</v>
      </c>
      <c r="CF106" s="3">
        <f t="shared" si="97"/>
        <v>40285.18</v>
      </c>
      <c r="CG106" s="3">
        <f t="shared" si="97"/>
        <v>0</v>
      </c>
      <c r="CH106" s="3">
        <f t="shared" si="97"/>
        <v>40285.18</v>
      </c>
      <c r="CI106" s="3">
        <f t="shared" si="97"/>
        <v>0</v>
      </c>
      <c r="CJ106" s="3">
        <f t="shared" si="97"/>
        <v>0</v>
      </c>
      <c r="CK106" s="3">
        <f t="shared" si="97"/>
        <v>0</v>
      </c>
      <c r="CL106" s="3">
        <f t="shared" si="97"/>
        <v>0</v>
      </c>
      <c r="CM106" s="3">
        <f t="shared" si="97"/>
        <v>0</v>
      </c>
      <c r="CN106" s="3">
        <f t="shared" si="97"/>
        <v>0</v>
      </c>
      <c r="CO106" s="3">
        <f t="shared" si="97"/>
        <v>0</v>
      </c>
      <c r="CP106" s="3">
        <f t="shared" si="97"/>
        <v>0</v>
      </c>
      <c r="CQ106" s="3">
        <f t="shared" si="97"/>
        <v>0</v>
      </c>
      <c r="CR106" s="3">
        <f t="shared" si="97"/>
        <v>0</v>
      </c>
      <c r="CS106" s="3">
        <f t="shared" si="97"/>
        <v>0</v>
      </c>
      <c r="CT106" s="3">
        <f t="shared" si="97"/>
        <v>0</v>
      </c>
      <c r="CU106" s="3">
        <f t="shared" si="97"/>
        <v>0</v>
      </c>
      <c r="CV106" s="3">
        <f t="shared" si="97"/>
        <v>0</v>
      </c>
      <c r="CW106" s="3">
        <f t="shared" si="97"/>
        <v>0</v>
      </c>
      <c r="CX106" s="3">
        <f t="shared" si="97"/>
        <v>0</v>
      </c>
      <c r="CY106" s="3">
        <f t="shared" si="97"/>
        <v>0</v>
      </c>
      <c r="CZ106" s="3">
        <f t="shared" si="97"/>
        <v>0</v>
      </c>
      <c r="DA106" s="3">
        <f t="shared" si="97"/>
        <v>0</v>
      </c>
      <c r="DB106" s="3">
        <f t="shared" si="97"/>
        <v>0</v>
      </c>
      <c r="DC106" s="3">
        <f t="shared" si="97"/>
        <v>0</v>
      </c>
      <c r="DD106" s="3">
        <f t="shared" si="97"/>
        <v>0</v>
      </c>
      <c r="DE106" s="3">
        <f t="shared" si="97"/>
        <v>0</v>
      </c>
      <c r="DF106" s="3">
        <f t="shared" si="97"/>
        <v>0</v>
      </c>
      <c r="DG106" s="4">
        <f t="shared" ref="DG106:EL106" si="98">DG115</f>
        <v>356621.53</v>
      </c>
      <c r="DH106" s="4">
        <f t="shared" si="98"/>
        <v>310125.26</v>
      </c>
      <c r="DI106" s="4">
        <f t="shared" si="98"/>
        <v>0</v>
      </c>
      <c r="DJ106" s="4">
        <f t="shared" si="98"/>
        <v>0</v>
      </c>
      <c r="DK106" s="4">
        <f t="shared" si="98"/>
        <v>46496.27</v>
      </c>
      <c r="DL106" s="4">
        <f t="shared" si="98"/>
        <v>0</v>
      </c>
      <c r="DM106" s="4">
        <f t="shared" si="98"/>
        <v>213.72499999999999</v>
      </c>
      <c r="DN106" s="4">
        <f t="shared" si="98"/>
        <v>0</v>
      </c>
      <c r="DO106" s="4">
        <f t="shared" si="98"/>
        <v>0</v>
      </c>
      <c r="DP106" s="4">
        <f t="shared" si="98"/>
        <v>36267.089999999997</v>
      </c>
      <c r="DQ106" s="4">
        <f t="shared" si="98"/>
        <v>23248.14</v>
      </c>
      <c r="DR106" s="4">
        <f t="shared" si="98"/>
        <v>0</v>
      </c>
      <c r="DS106" s="4">
        <f t="shared" si="98"/>
        <v>0</v>
      </c>
      <c r="DT106" s="4">
        <f t="shared" si="98"/>
        <v>356621.53</v>
      </c>
      <c r="DU106" s="4">
        <f t="shared" si="98"/>
        <v>310125.26</v>
      </c>
      <c r="DV106" s="4">
        <f t="shared" si="98"/>
        <v>0</v>
      </c>
      <c r="DW106" s="4">
        <f t="shared" si="98"/>
        <v>0</v>
      </c>
      <c r="DX106" s="4">
        <f t="shared" si="98"/>
        <v>46496.27</v>
      </c>
      <c r="DY106" s="4">
        <f t="shared" si="98"/>
        <v>0</v>
      </c>
      <c r="DZ106" s="4">
        <f t="shared" si="98"/>
        <v>213.72499999999999</v>
      </c>
      <c r="EA106" s="4">
        <f t="shared" si="98"/>
        <v>0</v>
      </c>
      <c r="EB106" s="4">
        <f t="shared" si="98"/>
        <v>0</v>
      </c>
      <c r="EC106" s="4">
        <f t="shared" si="98"/>
        <v>36267.089999999997</v>
      </c>
      <c r="ED106" s="4">
        <f t="shared" si="98"/>
        <v>23248.14</v>
      </c>
      <c r="EE106" s="4">
        <f t="shared" si="98"/>
        <v>0</v>
      </c>
      <c r="EF106" s="4">
        <f t="shared" si="98"/>
        <v>0</v>
      </c>
      <c r="EG106" s="4">
        <f t="shared" si="98"/>
        <v>0</v>
      </c>
      <c r="EH106" s="4">
        <f t="shared" si="98"/>
        <v>0</v>
      </c>
      <c r="EI106" s="4">
        <f t="shared" si="98"/>
        <v>0</v>
      </c>
      <c r="EJ106" s="4">
        <f t="shared" si="98"/>
        <v>476550.18</v>
      </c>
      <c r="EK106" s="4">
        <f t="shared" si="98"/>
        <v>185549.78</v>
      </c>
      <c r="EL106" s="4">
        <f t="shared" si="98"/>
        <v>0</v>
      </c>
      <c r="EM106" s="4">
        <f t="shared" ref="EM106:FR106" si="99">EM115</f>
        <v>291000.40000000002</v>
      </c>
      <c r="EN106" s="4">
        <f t="shared" si="99"/>
        <v>310125.26</v>
      </c>
      <c r="EO106" s="4">
        <f t="shared" si="99"/>
        <v>310125.26</v>
      </c>
      <c r="EP106" s="4">
        <f t="shared" si="99"/>
        <v>0</v>
      </c>
      <c r="EQ106" s="4">
        <f t="shared" si="99"/>
        <v>310125.26</v>
      </c>
      <c r="ER106" s="4">
        <f t="shared" si="99"/>
        <v>0</v>
      </c>
      <c r="ES106" s="4">
        <f t="shared" si="99"/>
        <v>0</v>
      </c>
      <c r="ET106" s="4">
        <f t="shared" si="99"/>
        <v>0</v>
      </c>
      <c r="EU106" s="4">
        <f t="shared" si="99"/>
        <v>0</v>
      </c>
      <c r="EV106" s="4">
        <f t="shared" si="99"/>
        <v>0</v>
      </c>
      <c r="EW106" s="4">
        <f t="shared" si="99"/>
        <v>0</v>
      </c>
      <c r="EX106" s="4">
        <f t="shared" si="99"/>
        <v>0</v>
      </c>
      <c r="EY106" s="4">
        <f t="shared" si="99"/>
        <v>0</v>
      </c>
      <c r="EZ106" s="4">
        <f t="shared" si="99"/>
        <v>0</v>
      </c>
      <c r="FA106" s="4">
        <f t="shared" si="99"/>
        <v>0</v>
      </c>
      <c r="FB106" s="4">
        <f t="shared" si="99"/>
        <v>0</v>
      </c>
      <c r="FC106" s="4">
        <f t="shared" si="99"/>
        <v>0</v>
      </c>
      <c r="FD106" s="4">
        <f t="shared" si="99"/>
        <v>0</v>
      </c>
      <c r="FE106" s="4">
        <f t="shared" si="99"/>
        <v>0</v>
      </c>
      <c r="FF106" s="4">
        <f t="shared" si="99"/>
        <v>0</v>
      </c>
      <c r="FG106" s="4">
        <f t="shared" si="99"/>
        <v>0</v>
      </c>
      <c r="FH106" s="4">
        <f t="shared" si="99"/>
        <v>0</v>
      </c>
      <c r="FI106" s="4">
        <f t="shared" si="99"/>
        <v>0</v>
      </c>
      <c r="FJ106" s="4">
        <f t="shared" si="99"/>
        <v>0</v>
      </c>
      <c r="FK106" s="4">
        <f t="shared" si="99"/>
        <v>0</v>
      </c>
      <c r="FL106" s="4">
        <f t="shared" si="99"/>
        <v>0</v>
      </c>
      <c r="FM106" s="4">
        <f t="shared" si="99"/>
        <v>0</v>
      </c>
      <c r="FN106" s="4">
        <f t="shared" si="99"/>
        <v>0</v>
      </c>
      <c r="FO106" s="4">
        <f t="shared" si="99"/>
        <v>0</v>
      </c>
      <c r="FP106" s="4">
        <f t="shared" si="99"/>
        <v>0</v>
      </c>
      <c r="FQ106" s="4">
        <f t="shared" si="99"/>
        <v>0</v>
      </c>
      <c r="FR106" s="4">
        <f t="shared" si="99"/>
        <v>0</v>
      </c>
      <c r="FS106" s="4">
        <f t="shared" ref="FS106:GX106" si="100">FS115</f>
        <v>476550.18</v>
      </c>
      <c r="FT106" s="4">
        <f t="shared" si="100"/>
        <v>185549.78</v>
      </c>
      <c r="FU106" s="4">
        <f t="shared" si="100"/>
        <v>0</v>
      </c>
      <c r="FV106" s="4">
        <f t="shared" si="100"/>
        <v>291000.40000000002</v>
      </c>
      <c r="FW106" s="4">
        <f t="shared" si="100"/>
        <v>310125.26</v>
      </c>
      <c r="FX106" s="4">
        <f t="shared" si="100"/>
        <v>310125.26</v>
      </c>
      <c r="FY106" s="4">
        <f t="shared" si="100"/>
        <v>0</v>
      </c>
      <c r="FZ106" s="4">
        <f t="shared" si="100"/>
        <v>310125.26</v>
      </c>
      <c r="GA106" s="4">
        <f t="shared" si="100"/>
        <v>0</v>
      </c>
      <c r="GB106" s="4">
        <f t="shared" si="100"/>
        <v>0</v>
      </c>
      <c r="GC106" s="4">
        <f t="shared" si="100"/>
        <v>0</v>
      </c>
      <c r="GD106" s="4">
        <f t="shared" si="100"/>
        <v>0</v>
      </c>
      <c r="GE106" s="4">
        <f t="shared" si="100"/>
        <v>0</v>
      </c>
      <c r="GF106" s="4">
        <f t="shared" si="100"/>
        <v>0</v>
      </c>
      <c r="GG106" s="4">
        <f t="shared" si="100"/>
        <v>0</v>
      </c>
      <c r="GH106" s="4">
        <f t="shared" si="100"/>
        <v>0</v>
      </c>
      <c r="GI106" s="4">
        <f t="shared" si="100"/>
        <v>0</v>
      </c>
      <c r="GJ106" s="4">
        <f t="shared" si="100"/>
        <v>0</v>
      </c>
      <c r="GK106" s="4">
        <f t="shared" si="100"/>
        <v>0</v>
      </c>
      <c r="GL106" s="4">
        <f t="shared" si="100"/>
        <v>0</v>
      </c>
      <c r="GM106" s="4">
        <f t="shared" si="100"/>
        <v>0</v>
      </c>
      <c r="GN106" s="4">
        <f t="shared" si="100"/>
        <v>0</v>
      </c>
      <c r="GO106" s="4">
        <f t="shared" si="100"/>
        <v>0</v>
      </c>
      <c r="GP106" s="4">
        <f t="shared" si="100"/>
        <v>0</v>
      </c>
      <c r="GQ106" s="4">
        <f t="shared" si="100"/>
        <v>0</v>
      </c>
      <c r="GR106" s="4">
        <f t="shared" si="100"/>
        <v>0</v>
      </c>
      <c r="GS106" s="4">
        <f t="shared" si="100"/>
        <v>0</v>
      </c>
      <c r="GT106" s="4">
        <f t="shared" si="100"/>
        <v>0</v>
      </c>
      <c r="GU106" s="4">
        <f t="shared" si="100"/>
        <v>0</v>
      </c>
      <c r="GV106" s="4">
        <f t="shared" si="100"/>
        <v>0</v>
      </c>
      <c r="GW106" s="4">
        <f t="shared" si="100"/>
        <v>0</v>
      </c>
      <c r="GX106" s="4">
        <f t="shared" si="100"/>
        <v>0</v>
      </c>
    </row>
    <row r="108" spans="1:255" x14ac:dyDescent="0.2">
      <c r="A108" s="69">
        <v>17</v>
      </c>
      <c r="B108" s="2">
        <v>1</v>
      </c>
      <c r="C108" s="2">
        <f>ROW(SmtRes!A34)</f>
        <v>34</v>
      </c>
      <c r="D108" s="2">
        <f>ROW(EtalonRes!A34)</f>
        <v>34</v>
      </c>
      <c r="E108" s="2" t="s">
        <v>94</v>
      </c>
      <c r="F108" s="2" t="s">
        <v>95</v>
      </c>
      <c r="G108" s="2" t="s">
        <v>96</v>
      </c>
      <c r="H108" s="2" t="s">
        <v>97</v>
      </c>
      <c r="I108" s="2">
        <v>207.5</v>
      </c>
      <c r="J108" s="2">
        <v>0</v>
      </c>
      <c r="K108" s="2"/>
      <c r="L108" s="2"/>
      <c r="M108" s="2"/>
      <c r="N108" s="2"/>
      <c r="O108" s="2">
        <f>ROUND(CP108,2)</f>
        <v>4940.58</v>
      </c>
      <c r="P108" s="2">
        <f>ROUND(CQ108*I108,2)</f>
        <v>3403</v>
      </c>
      <c r="Q108" s="2">
        <f>ROUND(CR108*I108,2)</f>
        <v>0</v>
      </c>
      <c r="R108" s="2">
        <f>ROUND(CS108*I108,2)</f>
        <v>0</v>
      </c>
      <c r="S108" s="2">
        <f>ROUND(CT108*I108,2)</f>
        <v>1537.58</v>
      </c>
      <c r="T108" s="2">
        <f>ROUND(CU108*I108,2)</f>
        <v>0</v>
      </c>
      <c r="U108" s="2">
        <f>CV108*I108</f>
        <v>213.72499999999999</v>
      </c>
      <c r="V108" s="2">
        <f>CW108*I108</f>
        <v>0</v>
      </c>
      <c r="W108" s="2">
        <f>ROUND(CX108*I108,2)</f>
        <v>0</v>
      </c>
      <c r="X108" s="2">
        <f>ROUND(CY108,2)</f>
        <v>1199.31</v>
      </c>
      <c r="Y108" s="2">
        <f>ROUND(CZ108,2)</f>
        <v>768.79</v>
      </c>
      <c r="Z108" s="2"/>
      <c r="AA108" s="2">
        <v>49290729</v>
      </c>
      <c r="AB108" s="2">
        <f>ROUND((AC108+AD108+AF108),6)</f>
        <v>23.81</v>
      </c>
      <c r="AC108" s="2">
        <f>ROUND((ES108),6)</f>
        <v>16.399999999999999</v>
      </c>
      <c r="AD108" s="2">
        <f>ROUND((((ET108)-(EU108))+AE108),6)</f>
        <v>0</v>
      </c>
      <c r="AE108" s="2">
        <f>ROUND((EU108),6)</f>
        <v>0</v>
      </c>
      <c r="AF108" s="2">
        <f>ROUND((EV108),6)</f>
        <v>7.41</v>
      </c>
      <c r="AG108" s="2">
        <f>ROUND((AP108),6)</f>
        <v>0</v>
      </c>
      <c r="AH108" s="2">
        <f>(EW108)</f>
        <v>1.03</v>
      </c>
      <c r="AI108" s="2">
        <f>(EX108)</f>
        <v>0</v>
      </c>
      <c r="AJ108" s="2">
        <f>(AS108)</f>
        <v>0</v>
      </c>
      <c r="AK108" s="2">
        <v>23.81</v>
      </c>
      <c r="AL108" s="2">
        <v>16.399999999999999</v>
      </c>
      <c r="AM108" s="2">
        <v>0</v>
      </c>
      <c r="AN108" s="2">
        <v>0</v>
      </c>
      <c r="AO108" s="2">
        <v>7.41</v>
      </c>
      <c r="AP108" s="2">
        <v>0</v>
      </c>
      <c r="AQ108" s="2">
        <v>1.03</v>
      </c>
      <c r="AR108" s="2">
        <v>0</v>
      </c>
      <c r="AS108" s="2">
        <v>0</v>
      </c>
      <c r="AT108" s="2">
        <v>78</v>
      </c>
      <c r="AU108" s="2">
        <v>50</v>
      </c>
      <c r="AV108" s="2">
        <v>1</v>
      </c>
      <c r="AW108" s="2">
        <v>1</v>
      </c>
      <c r="AX108" s="2"/>
      <c r="AY108" s="2"/>
      <c r="AZ108" s="2">
        <v>1</v>
      </c>
      <c r="BA108" s="2">
        <v>1</v>
      </c>
      <c r="BB108" s="2">
        <v>1</v>
      </c>
      <c r="BC108" s="2">
        <v>1</v>
      </c>
      <c r="BD108" s="2" t="s">
        <v>3</v>
      </c>
      <c r="BE108" s="2" t="s">
        <v>3</v>
      </c>
      <c r="BF108" s="2" t="s">
        <v>3</v>
      </c>
      <c r="BG108" s="2" t="s">
        <v>3</v>
      </c>
      <c r="BH108" s="2">
        <v>0</v>
      </c>
      <c r="BI108" s="2">
        <v>1</v>
      </c>
      <c r="BJ108" s="2" t="s">
        <v>98</v>
      </c>
      <c r="BK108" s="2"/>
      <c r="BL108" s="2"/>
      <c r="BM108" s="2">
        <v>69001</v>
      </c>
      <c r="BN108" s="2">
        <v>0</v>
      </c>
      <c r="BO108" s="2" t="s">
        <v>3</v>
      </c>
      <c r="BP108" s="2">
        <v>0</v>
      </c>
      <c r="BQ108" s="2">
        <v>6</v>
      </c>
      <c r="BR108" s="2">
        <v>0</v>
      </c>
      <c r="BS108" s="2">
        <v>1</v>
      </c>
      <c r="BT108" s="2">
        <v>1</v>
      </c>
      <c r="BU108" s="2">
        <v>1</v>
      </c>
      <c r="BV108" s="2">
        <v>1</v>
      </c>
      <c r="BW108" s="2">
        <v>1</v>
      </c>
      <c r="BX108" s="2">
        <v>1</v>
      </c>
      <c r="BY108" s="2" t="s">
        <v>3</v>
      </c>
      <c r="BZ108" s="2">
        <v>78</v>
      </c>
      <c r="CA108" s="2">
        <v>50</v>
      </c>
      <c r="CB108" s="2"/>
      <c r="CC108" s="2"/>
      <c r="CD108" s="2"/>
      <c r="CE108" s="2">
        <v>0</v>
      </c>
      <c r="CF108" s="2">
        <v>0</v>
      </c>
      <c r="CG108" s="2">
        <v>0</v>
      </c>
      <c r="CH108" s="2"/>
      <c r="CI108" s="2"/>
      <c r="CJ108" s="2"/>
      <c r="CK108" s="2"/>
      <c r="CL108" s="2"/>
      <c r="CM108" s="2">
        <v>0</v>
      </c>
      <c r="CN108" s="2" t="s">
        <v>3</v>
      </c>
      <c r="CO108" s="2">
        <v>0</v>
      </c>
      <c r="CP108" s="2">
        <f>(P108+Q108+S108)</f>
        <v>4940.58</v>
      </c>
      <c r="CQ108" s="2">
        <f>AC108*BC108</f>
        <v>16.399999999999999</v>
      </c>
      <c r="CR108" s="2">
        <f>AD108*BB108</f>
        <v>0</v>
      </c>
      <c r="CS108" s="2">
        <f>AE108*BS108</f>
        <v>0</v>
      </c>
      <c r="CT108" s="2">
        <f>AF108*BA108</f>
        <v>7.41</v>
      </c>
      <c r="CU108" s="2">
        <f t="shared" ref="CU108:CX109" si="101">AG108</f>
        <v>0</v>
      </c>
      <c r="CV108" s="2">
        <f t="shared" si="101"/>
        <v>1.03</v>
      </c>
      <c r="CW108" s="2">
        <f t="shared" si="101"/>
        <v>0</v>
      </c>
      <c r="CX108" s="2">
        <f t="shared" si="101"/>
        <v>0</v>
      </c>
      <c r="CY108" s="2">
        <f>(((S108+R108)*AT108)/100)</f>
        <v>1199.3123999999998</v>
      </c>
      <c r="CZ108" s="2">
        <f>(((S108+R108)*AU108)/100)</f>
        <v>768.79</v>
      </c>
      <c r="DA108" s="2"/>
      <c r="DB108" s="2"/>
      <c r="DC108" s="2" t="s">
        <v>3</v>
      </c>
      <c r="DD108" s="2" t="s">
        <v>3</v>
      </c>
      <c r="DE108" s="2" t="s">
        <v>3</v>
      </c>
      <c r="DF108" s="2" t="s">
        <v>3</v>
      </c>
      <c r="DG108" s="2" t="s">
        <v>3</v>
      </c>
      <c r="DH108" s="2" t="s">
        <v>3</v>
      </c>
      <c r="DI108" s="2" t="s">
        <v>3</v>
      </c>
      <c r="DJ108" s="2" t="s">
        <v>3</v>
      </c>
      <c r="DK108" s="2" t="s">
        <v>3</v>
      </c>
      <c r="DL108" s="2" t="s">
        <v>3</v>
      </c>
      <c r="DM108" s="2" t="s">
        <v>3</v>
      </c>
      <c r="DN108" s="2">
        <v>0</v>
      </c>
      <c r="DO108" s="2">
        <v>0</v>
      </c>
      <c r="DP108" s="2">
        <v>1</v>
      </c>
      <c r="DQ108" s="2">
        <v>1</v>
      </c>
      <c r="DR108" s="2"/>
      <c r="DS108" s="2"/>
      <c r="DT108" s="2"/>
      <c r="DU108" s="2">
        <v>1009</v>
      </c>
      <c r="DV108" s="2" t="s">
        <v>97</v>
      </c>
      <c r="DW108" s="2" t="s">
        <v>97</v>
      </c>
      <c r="DX108" s="2">
        <v>1000</v>
      </c>
      <c r="DY108" s="2"/>
      <c r="DZ108" s="2"/>
      <c r="EA108" s="2"/>
      <c r="EB108" s="2"/>
      <c r="EC108" s="2"/>
      <c r="ED108" s="2"/>
      <c r="EE108" s="2">
        <v>49155225</v>
      </c>
      <c r="EF108" s="2">
        <v>6</v>
      </c>
      <c r="EG108" s="2" t="s">
        <v>99</v>
      </c>
      <c r="EH108" s="2">
        <v>0</v>
      </c>
      <c r="EI108" s="2" t="s">
        <v>3</v>
      </c>
      <c r="EJ108" s="2">
        <v>1</v>
      </c>
      <c r="EK108" s="2">
        <v>69001</v>
      </c>
      <c r="EL108" s="2" t="s">
        <v>100</v>
      </c>
      <c r="EM108" s="2" t="s">
        <v>101</v>
      </c>
      <c r="EN108" s="2"/>
      <c r="EO108" s="2" t="s">
        <v>3</v>
      </c>
      <c r="EP108" s="2"/>
      <c r="EQ108" s="2">
        <v>131072</v>
      </c>
      <c r="ER108" s="2">
        <v>23.81</v>
      </c>
      <c r="ES108" s="2">
        <v>16.399999999999999</v>
      </c>
      <c r="ET108" s="2">
        <v>0</v>
      </c>
      <c r="EU108" s="2">
        <v>0</v>
      </c>
      <c r="EV108" s="2">
        <v>7.41</v>
      </c>
      <c r="EW108" s="2">
        <v>1.03</v>
      </c>
      <c r="EX108" s="2">
        <v>0</v>
      </c>
      <c r="EY108" s="2">
        <v>0</v>
      </c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>
        <v>0</v>
      </c>
      <c r="FR108" s="2">
        <f t="shared" ref="FR108:FR113" si="102">ROUND(IF(AND(BH108=3,BI108=3),P108,0),2)</f>
        <v>0</v>
      </c>
      <c r="FS108" s="2">
        <v>0</v>
      </c>
      <c r="FT108" s="2"/>
      <c r="FU108" s="2"/>
      <c r="FV108" s="2"/>
      <c r="FW108" s="2"/>
      <c r="FX108" s="2">
        <v>78</v>
      </c>
      <c r="FY108" s="2">
        <v>50</v>
      </c>
      <c r="FZ108" s="2"/>
      <c r="GA108" s="2" t="s">
        <v>3</v>
      </c>
      <c r="GB108" s="2"/>
      <c r="GC108" s="2"/>
      <c r="GD108" s="2">
        <v>1</v>
      </c>
      <c r="GE108" s="2"/>
      <c r="GF108" s="2">
        <v>-38060493</v>
      </c>
      <c r="GG108" s="2">
        <v>2</v>
      </c>
      <c r="GH108" s="2">
        <v>1</v>
      </c>
      <c r="GI108" s="2">
        <v>-2</v>
      </c>
      <c r="GJ108" s="2">
        <v>0</v>
      </c>
      <c r="GK108" s="2">
        <v>0</v>
      </c>
      <c r="GL108" s="2">
        <f t="shared" ref="GL108:GL113" si="103">ROUND(IF(AND(BH108=3,BI108=3,FS108&lt;&gt;0),P108,0),2)</f>
        <v>0</v>
      </c>
      <c r="GM108" s="2">
        <f>ROUND(O108+X108+Y108,2)+GX108</f>
        <v>6908.68</v>
      </c>
      <c r="GN108" s="2">
        <f>IF(OR(BI108=0,BI108=1),ROUND(O108+X108+Y108,2),0)</f>
        <v>6908.68</v>
      </c>
      <c r="GO108" s="2">
        <f>IF(BI108=2,ROUND(O108+X108+Y108,2),0)</f>
        <v>0</v>
      </c>
      <c r="GP108" s="2">
        <f>IF(BI108=4,ROUND(O108+X108+Y108,2)+GX108,0)</f>
        <v>0</v>
      </c>
      <c r="GQ108" s="2"/>
      <c r="GR108" s="2">
        <v>0</v>
      </c>
      <c r="GS108" s="2">
        <v>3</v>
      </c>
      <c r="GT108" s="2">
        <v>0</v>
      </c>
      <c r="GU108" s="2" t="s">
        <v>3</v>
      </c>
      <c r="GV108" s="2">
        <f>ROUND((GT108),6)</f>
        <v>0</v>
      </c>
      <c r="GW108" s="2">
        <v>1</v>
      </c>
      <c r="GX108" s="2">
        <f>ROUND(HC108*I108,2)</f>
        <v>0</v>
      </c>
      <c r="GY108" s="2"/>
      <c r="GZ108" s="2"/>
      <c r="HA108" s="2">
        <v>0</v>
      </c>
      <c r="HB108" s="2">
        <v>0</v>
      </c>
      <c r="HC108" s="2">
        <f>GV108*GW108</f>
        <v>0</v>
      </c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>
        <v>0</v>
      </c>
      <c r="IL108" s="2"/>
      <c r="IM108" s="2"/>
      <c r="IN108" s="2"/>
      <c r="IO108" s="2"/>
      <c r="IP108" s="2"/>
      <c r="IQ108" s="2"/>
      <c r="IR108" s="2"/>
      <c r="IS108" s="2"/>
      <c r="IT108" s="2"/>
      <c r="IU108" s="2"/>
    </row>
    <row r="109" spans="1:255" x14ac:dyDescent="0.2">
      <c r="A109" s="66">
        <v>17</v>
      </c>
      <c r="B109">
        <v>1</v>
      </c>
      <c r="C109">
        <f>ROW(SmtRes!A36)</f>
        <v>36</v>
      </c>
      <c r="D109">
        <f>ROW(EtalonRes!A36)</f>
        <v>36</v>
      </c>
      <c r="E109" t="s">
        <v>94</v>
      </c>
      <c r="F109" t="s">
        <v>95</v>
      </c>
      <c r="G109" t="s">
        <v>96</v>
      </c>
      <c r="H109" t="s">
        <v>97</v>
      </c>
      <c r="I109">
        <v>207.5</v>
      </c>
      <c r="J109">
        <v>0</v>
      </c>
      <c r="O109">
        <f>ROUND(CP109,2)</f>
        <v>65621.13</v>
      </c>
      <c r="P109">
        <f>ROUND(CQ109*I109,2)</f>
        <v>19124.86</v>
      </c>
      <c r="Q109">
        <f>ROUND(CR109*I109,2)</f>
        <v>0</v>
      </c>
      <c r="R109">
        <f>ROUND(CS109*I109,2)</f>
        <v>0</v>
      </c>
      <c r="S109">
        <f>ROUND(CT109*I109,2)</f>
        <v>46496.27</v>
      </c>
      <c r="T109">
        <f>ROUND(CU109*I109,2)</f>
        <v>0</v>
      </c>
      <c r="U109">
        <f>CV109*I109</f>
        <v>213.72499999999999</v>
      </c>
      <c r="V109">
        <f>CW109*I109</f>
        <v>0</v>
      </c>
      <c r="W109">
        <f>ROUND(CX109*I109,2)</f>
        <v>0</v>
      </c>
      <c r="X109">
        <f>ROUND(CY109,2)</f>
        <v>36267.089999999997</v>
      </c>
      <c r="Y109">
        <f>ROUND(CZ109,2)</f>
        <v>23248.14</v>
      </c>
      <c r="AA109">
        <v>49290730</v>
      </c>
      <c r="AB109">
        <f>ROUND((AC109+AD109+AF109),6)</f>
        <v>23.81</v>
      </c>
      <c r="AC109">
        <f>ROUND((ES109),6)</f>
        <v>16.399999999999999</v>
      </c>
      <c r="AD109">
        <f>ROUND((((ET109)-(EU109))+AE109),6)</f>
        <v>0</v>
      </c>
      <c r="AE109">
        <f>ROUND((EU109),6)</f>
        <v>0</v>
      </c>
      <c r="AF109">
        <f>ROUND((EV109),6)</f>
        <v>7.41</v>
      </c>
      <c r="AG109">
        <f>ROUND((AP109),6)</f>
        <v>0</v>
      </c>
      <c r="AH109">
        <f>(EW109)</f>
        <v>1.03</v>
      </c>
      <c r="AI109">
        <f>(EX109)</f>
        <v>0</v>
      </c>
      <c r="AJ109">
        <f>(AS109)</f>
        <v>0</v>
      </c>
      <c r="AK109">
        <v>23.81</v>
      </c>
      <c r="AL109">
        <v>16.399999999999999</v>
      </c>
      <c r="AM109">
        <v>0</v>
      </c>
      <c r="AN109">
        <v>0</v>
      </c>
      <c r="AO109">
        <v>7.41</v>
      </c>
      <c r="AP109">
        <v>0</v>
      </c>
      <c r="AQ109">
        <v>1.03</v>
      </c>
      <c r="AR109">
        <v>0</v>
      </c>
      <c r="AS109">
        <v>0</v>
      </c>
      <c r="AT109">
        <v>78</v>
      </c>
      <c r="AU109">
        <v>50</v>
      </c>
      <c r="AV109">
        <v>1</v>
      </c>
      <c r="AW109">
        <v>1</v>
      </c>
      <c r="AZ109">
        <v>1</v>
      </c>
      <c r="BA109">
        <v>30.24</v>
      </c>
      <c r="BB109">
        <v>1</v>
      </c>
      <c r="BC109">
        <v>5.62</v>
      </c>
      <c r="BD109" t="s">
        <v>3</v>
      </c>
      <c r="BE109" t="s">
        <v>3</v>
      </c>
      <c r="BF109" t="s">
        <v>3</v>
      </c>
      <c r="BG109" t="s">
        <v>3</v>
      </c>
      <c r="BH109">
        <v>0</v>
      </c>
      <c r="BI109">
        <v>1</v>
      </c>
      <c r="BJ109" t="s">
        <v>98</v>
      </c>
      <c r="BM109">
        <v>69001</v>
      </c>
      <c r="BN109">
        <v>0</v>
      </c>
      <c r="BO109" t="s">
        <v>95</v>
      </c>
      <c r="BP109">
        <v>1</v>
      </c>
      <c r="BQ109">
        <v>6</v>
      </c>
      <c r="BR109">
        <v>0</v>
      </c>
      <c r="BS109">
        <v>30.24</v>
      </c>
      <c r="BT109">
        <v>1</v>
      </c>
      <c r="BU109">
        <v>1</v>
      </c>
      <c r="BV109">
        <v>1</v>
      </c>
      <c r="BW109">
        <v>1</v>
      </c>
      <c r="BX109">
        <v>1</v>
      </c>
      <c r="BY109" t="s">
        <v>3</v>
      </c>
      <c r="BZ109">
        <v>78</v>
      </c>
      <c r="CA109">
        <v>50</v>
      </c>
      <c r="CE109">
        <v>0</v>
      </c>
      <c r="CF109">
        <v>0</v>
      </c>
      <c r="CG109">
        <v>0</v>
      </c>
      <c r="CM109">
        <v>0</v>
      </c>
      <c r="CN109" t="s">
        <v>3</v>
      </c>
      <c r="CO109">
        <v>0</v>
      </c>
      <c r="CP109">
        <f>(P109+Q109+S109)</f>
        <v>65621.13</v>
      </c>
      <c r="CQ109">
        <f>AC109*BC109</f>
        <v>92.167999999999992</v>
      </c>
      <c r="CR109">
        <f>AD109*BB109</f>
        <v>0</v>
      </c>
      <c r="CS109">
        <f>AE109*BS109</f>
        <v>0</v>
      </c>
      <c r="CT109">
        <f>AF109*BA109</f>
        <v>224.07839999999999</v>
      </c>
      <c r="CU109">
        <f t="shared" si="101"/>
        <v>0</v>
      </c>
      <c r="CV109">
        <f t="shared" si="101"/>
        <v>1.03</v>
      </c>
      <c r="CW109">
        <f t="shared" si="101"/>
        <v>0</v>
      </c>
      <c r="CX109">
        <f t="shared" si="101"/>
        <v>0</v>
      </c>
      <c r="CY109">
        <f>(((S109+R109)*AT109)/100)</f>
        <v>36267.090599999996</v>
      </c>
      <c r="CZ109">
        <f>(((S109+R109)*AU109)/100)</f>
        <v>23248.134999999998</v>
      </c>
      <c r="DC109" t="s">
        <v>3</v>
      </c>
      <c r="DD109" t="s">
        <v>3</v>
      </c>
      <c r="DE109" t="s">
        <v>3</v>
      </c>
      <c r="DF109" t="s">
        <v>3</v>
      </c>
      <c r="DG109" t="s">
        <v>3</v>
      </c>
      <c r="DH109" t="s">
        <v>3</v>
      </c>
      <c r="DI109" t="s">
        <v>3</v>
      </c>
      <c r="DJ109" t="s">
        <v>3</v>
      </c>
      <c r="DK109" t="s">
        <v>3</v>
      </c>
      <c r="DL109" t="s">
        <v>3</v>
      </c>
      <c r="DM109" t="s">
        <v>3</v>
      </c>
      <c r="DN109">
        <v>0</v>
      </c>
      <c r="DO109">
        <v>0</v>
      </c>
      <c r="DP109">
        <v>1</v>
      </c>
      <c r="DQ109">
        <v>1</v>
      </c>
      <c r="DU109">
        <v>1009</v>
      </c>
      <c r="DV109" t="s">
        <v>97</v>
      </c>
      <c r="DW109" t="s">
        <v>97</v>
      </c>
      <c r="DX109">
        <v>1000</v>
      </c>
      <c r="EE109">
        <v>49155225</v>
      </c>
      <c r="EF109">
        <v>6</v>
      </c>
      <c r="EG109" t="s">
        <v>99</v>
      </c>
      <c r="EH109">
        <v>0</v>
      </c>
      <c r="EI109" t="s">
        <v>3</v>
      </c>
      <c r="EJ109">
        <v>1</v>
      </c>
      <c r="EK109">
        <v>69001</v>
      </c>
      <c r="EL109" t="s">
        <v>100</v>
      </c>
      <c r="EM109" t="s">
        <v>101</v>
      </c>
      <c r="EO109" t="s">
        <v>3</v>
      </c>
      <c r="EQ109">
        <v>131072</v>
      </c>
      <c r="ER109">
        <v>23.81</v>
      </c>
      <c r="ES109">
        <v>16.399999999999999</v>
      </c>
      <c r="ET109">
        <v>0</v>
      </c>
      <c r="EU109">
        <v>0</v>
      </c>
      <c r="EV109">
        <v>7.41</v>
      </c>
      <c r="EW109">
        <v>1.03</v>
      </c>
      <c r="EX109">
        <v>0</v>
      </c>
      <c r="EY109">
        <v>0</v>
      </c>
      <c r="FQ109">
        <v>0</v>
      </c>
      <c r="FR109">
        <f t="shared" si="102"/>
        <v>0</v>
      </c>
      <c r="FS109">
        <v>0</v>
      </c>
      <c r="FX109">
        <v>78</v>
      </c>
      <c r="FY109">
        <v>50</v>
      </c>
      <c r="GA109" t="s">
        <v>3</v>
      </c>
      <c r="GD109">
        <v>1</v>
      </c>
      <c r="GF109">
        <v>-38060493</v>
      </c>
      <c r="GG109">
        <v>2</v>
      </c>
      <c r="GH109">
        <v>1</v>
      </c>
      <c r="GI109">
        <v>2</v>
      </c>
      <c r="GJ109">
        <v>0</v>
      </c>
      <c r="GK109">
        <v>0</v>
      </c>
      <c r="GL109">
        <f t="shared" si="103"/>
        <v>0</v>
      </c>
      <c r="GM109">
        <f>ROUND(O109+X109+Y109,2)+GX109</f>
        <v>125136.36</v>
      </c>
      <c r="GN109">
        <f>IF(OR(BI109=0,BI109=1),ROUND(O109+X109+Y109,2),0)</f>
        <v>125136.36</v>
      </c>
      <c r="GO109">
        <f>IF(BI109=2,ROUND(O109+X109+Y109,2),0)</f>
        <v>0</v>
      </c>
      <c r="GP109">
        <f>IF(BI109=4,ROUND(O109+X109+Y109,2)+GX109,0)</f>
        <v>0</v>
      </c>
      <c r="GR109">
        <v>0</v>
      </c>
      <c r="GS109">
        <v>3</v>
      </c>
      <c r="GT109">
        <v>0</v>
      </c>
      <c r="GU109" t="s">
        <v>3</v>
      </c>
      <c r="GV109">
        <f>ROUND((GT109),6)</f>
        <v>0</v>
      </c>
      <c r="GW109">
        <v>1</v>
      </c>
      <c r="GX109">
        <f>ROUND(HC109*I109,2)</f>
        <v>0</v>
      </c>
      <c r="HA109">
        <v>0</v>
      </c>
      <c r="HB109">
        <v>0</v>
      </c>
      <c r="HC109">
        <f>GV109*GW109</f>
        <v>0</v>
      </c>
      <c r="IK109">
        <v>0</v>
      </c>
    </row>
    <row r="110" spans="1:255" x14ac:dyDescent="0.2">
      <c r="A110" s="69">
        <v>17</v>
      </c>
      <c r="B110" s="2">
        <v>1</v>
      </c>
      <c r="C110" s="2"/>
      <c r="D110" s="2"/>
      <c r="E110" s="2" t="s">
        <v>102</v>
      </c>
      <c r="F110" s="2" t="s">
        <v>103</v>
      </c>
      <c r="G110" s="2" t="s">
        <v>104</v>
      </c>
      <c r="H110" s="2" t="s">
        <v>105</v>
      </c>
      <c r="I110" s="2">
        <v>207.5</v>
      </c>
      <c r="J110" s="2">
        <v>0</v>
      </c>
      <c r="K110" s="2"/>
      <c r="L110" s="2"/>
      <c r="M110" s="2"/>
      <c r="N110" s="2"/>
      <c r="O110" s="2">
        <f>0</f>
        <v>0</v>
      </c>
      <c r="P110" s="2">
        <f>0</f>
        <v>0</v>
      </c>
      <c r="Q110" s="2">
        <f>0</f>
        <v>0</v>
      </c>
      <c r="R110" s="2">
        <f>0</f>
        <v>0</v>
      </c>
      <c r="S110" s="2">
        <f>0</f>
        <v>0</v>
      </c>
      <c r="T110" s="2">
        <f>0</f>
        <v>0</v>
      </c>
      <c r="U110" s="2">
        <f>0</f>
        <v>0</v>
      </c>
      <c r="V110" s="2">
        <f>0</f>
        <v>0</v>
      </c>
      <c r="W110" s="2">
        <f>0</f>
        <v>0</v>
      </c>
      <c r="X110" s="2">
        <f>0</f>
        <v>0</v>
      </c>
      <c r="Y110" s="2">
        <f>0</f>
        <v>0</v>
      </c>
      <c r="Z110" s="2"/>
      <c r="AA110" s="2">
        <v>49290729</v>
      </c>
      <c r="AB110" s="2">
        <f>ROUND((AK110),6)</f>
        <v>17.95</v>
      </c>
      <c r="AC110" s="2">
        <f>0</f>
        <v>0</v>
      </c>
      <c r="AD110" s="2">
        <f>0</f>
        <v>0</v>
      </c>
      <c r="AE110" s="2">
        <f>0</f>
        <v>0</v>
      </c>
      <c r="AF110" s="2">
        <f>0</f>
        <v>0</v>
      </c>
      <c r="AG110" s="2">
        <f>0</f>
        <v>0</v>
      </c>
      <c r="AH110" s="2">
        <f>0</f>
        <v>0</v>
      </c>
      <c r="AI110" s="2">
        <f>0</f>
        <v>0</v>
      </c>
      <c r="AJ110" s="2">
        <f>0</f>
        <v>0</v>
      </c>
      <c r="AK110" s="2">
        <v>17.95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1</v>
      </c>
      <c r="AW110" s="2">
        <v>1</v>
      </c>
      <c r="AX110" s="2"/>
      <c r="AY110" s="2"/>
      <c r="AZ110" s="2">
        <v>1</v>
      </c>
      <c r="BA110" s="2">
        <v>1</v>
      </c>
      <c r="BB110" s="2">
        <v>1</v>
      </c>
      <c r="BC110" s="2">
        <v>1</v>
      </c>
      <c r="BD110" s="2" t="s">
        <v>3</v>
      </c>
      <c r="BE110" s="2" t="s">
        <v>3</v>
      </c>
      <c r="BF110" s="2" t="s">
        <v>3</v>
      </c>
      <c r="BG110" s="2" t="s">
        <v>3</v>
      </c>
      <c r="BH110" s="2">
        <v>0</v>
      </c>
      <c r="BI110" s="2">
        <v>1</v>
      </c>
      <c r="BJ110" s="2" t="s">
        <v>106</v>
      </c>
      <c r="BK110" s="2"/>
      <c r="BL110" s="2"/>
      <c r="BM110" s="2">
        <v>700004</v>
      </c>
      <c r="BN110" s="2">
        <v>0</v>
      </c>
      <c r="BO110" s="2" t="s">
        <v>3</v>
      </c>
      <c r="BP110" s="2">
        <v>0</v>
      </c>
      <c r="BQ110" s="2">
        <v>19</v>
      </c>
      <c r="BR110" s="2">
        <v>0</v>
      </c>
      <c r="BS110" s="2">
        <v>1</v>
      </c>
      <c r="BT110" s="2">
        <v>1</v>
      </c>
      <c r="BU110" s="2">
        <v>1</v>
      </c>
      <c r="BV110" s="2">
        <v>1</v>
      </c>
      <c r="BW110" s="2">
        <v>1</v>
      </c>
      <c r="BX110" s="2">
        <v>1</v>
      </c>
      <c r="BY110" s="2" t="s">
        <v>3</v>
      </c>
      <c r="BZ110" s="2">
        <v>0</v>
      </c>
      <c r="CA110" s="2">
        <v>0</v>
      </c>
      <c r="CB110" s="2"/>
      <c r="CC110" s="2"/>
      <c r="CD110" s="2"/>
      <c r="CE110" s="2">
        <v>0</v>
      </c>
      <c r="CF110" s="2">
        <v>0</v>
      </c>
      <c r="CG110" s="2">
        <v>0</v>
      </c>
      <c r="CH110" s="2"/>
      <c r="CI110" s="2"/>
      <c r="CJ110" s="2"/>
      <c r="CK110" s="2"/>
      <c r="CL110" s="2"/>
      <c r="CM110" s="2">
        <v>0</v>
      </c>
      <c r="CN110" s="2" t="s">
        <v>3</v>
      </c>
      <c r="CO110" s="2">
        <v>0</v>
      </c>
      <c r="CP110" s="2">
        <f>AB110*AZ110</f>
        <v>17.95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/>
      <c r="DB110" s="2"/>
      <c r="DC110" s="2" t="s">
        <v>3</v>
      </c>
      <c r="DD110" s="2" t="s">
        <v>3</v>
      </c>
      <c r="DE110" s="2" t="s">
        <v>3</v>
      </c>
      <c r="DF110" s="2" t="s">
        <v>3</v>
      </c>
      <c r="DG110" s="2" t="s">
        <v>3</v>
      </c>
      <c r="DH110" s="2" t="s">
        <v>3</v>
      </c>
      <c r="DI110" s="2" t="s">
        <v>3</v>
      </c>
      <c r="DJ110" s="2" t="s">
        <v>3</v>
      </c>
      <c r="DK110" s="2" t="s">
        <v>3</v>
      </c>
      <c r="DL110" s="2" t="s">
        <v>3</v>
      </c>
      <c r="DM110" s="2" t="s">
        <v>3</v>
      </c>
      <c r="DN110" s="2">
        <v>0</v>
      </c>
      <c r="DO110" s="2">
        <v>0</v>
      </c>
      <c r="DP110" s="2">
        <v>1</v>
      </c>
      <c r="DQ110" s="2">
        <v>1</v>
      </c>
      <c r="DR110" s="2"/>
      <c r="DS110" s="2"/>
      <c r="DT110" s="2"/>
      <c r="DU110" s="2">
        <v>1013</v>
      </c>
      <c r="DV110" s="2" t="s">
        <v>105</v>
      </c>
      <c r="DW110" s="2" t="s">
        <v>105</v>
      </c>
      <c r="DX110" s="2">
        <v>1</v>
      </c>
      <c r="DY110" s="2"/>
      <c r="DZ110" s="2"/>
      <c r="EA110" s="2"/>
      <c r="EB110" s="2"/>
      <c r="EC110" s="2"/>
      <c r="ED110" s="2"/>
      <c r="EE110" s="2">
        <v>49155286</v>
      </c>
      <c r="EF110" s="2">
        <v>19</v>
      </c>
      <c r="EG110" s="2" t="s">
        <v>107</v>
      </c>
      <c r="EH110" s="2">
        <v>0</v>
      </c>
      <c r="EI110" s="2" t="s">
        <v>3</v>
      </c>
      <c r="EJ110" s="2">
        <v>1</v>
      </c>
      <c r="EK110" s="2">
        <v>700004</v>
      </c>
      <c r="EL110" s="2" t="s">
        <v>108</v>
      </c>
      <c r="EM110" s="2" t="s">
        <v>109</v>
      </c>
      <c r="EN110" s="2"/>
      <c r="EO110" s="2" t="s">
        <v>3</v>
      </c>
      <c r="EP110" s="2"/>
      <c r="EQ110" s="2">
        <v>131072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>
        <v>0</v>
      </c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>
        <v>0</v>
      </c>
      <c r="FR110" s="2">
        <f t="shared" si="102"/>
        <v>0</v>
      </c>
      <c r="FS110" s="2">
        <v>0</v>
      </c>
      <c r="FT110" s="2"/>
      <c r="FU110" s="2"/>
      <c r="FV110" s="2"/>
      <c r="FW110" s="2"/>
      <c r="FX110" s="2">
        <v>0</v>
      </c>
      <c r="FY110" s="2">
        <v>0</v>
      </c>
      <c r="FZ110" s="2"/>
      <c r="GA110" s="2" t="s">
        <v>3</v>
      </c>
      <c r="GB110" s="2"/>
      <c r="GC110" s="2"/>
      <c r="GD110" s="2">
        <v>1</v>
      </c>
      <c r="GE110" s="2"/>
      <c r="GF110" s="2">
        <v>348627842</v>
      </c>
      <c r="GG110" s="2">
        <v>2</v>
      </c>
      <c r="GH110" s="2">
        <v>1</v>
      </c>
      <c r="GI110" s="2">
        <v>-2</v>
      </c>
      <c r="GJ110" s="2">
        <v>2</v>
      </c>
      <c r="GK110" s="2">
        <v>0</v>
      </c>
      <c r="GL110" s="2">
        <f t="shared" si="103"/>
        <v>0</v>
      </c>
      <c r="GM110" s="2">
        <f>ROUND(CP110*I110,2)</f>
        <v>3724.63</v>
      </c>
      <c r="GN110" s="2">
        <f>IF(OR(BI110=0,BI110=1),ROUND(CP110*I110,2),0)</f>
        <v>3724.63</v>
      </c>
      <c r="GO110" s="2">
        <f>IF(BI110=2,ROUND(CP110*I110,2),0)</f>
        <v>0</v>
      </c>
      <c r="GP110" s="2">
        <f>IF(BI110=4,ROUND(CP110*I110,2)+GX110,0)</f>
        <v>0</v>
      </c>
      <c r="GQ110" s="2"/>
      <c r="GR110" s="2">
        <v>0</v>
      </c>
      <c r="GS110" s="2">
        <v>3</v>
      </c>
      <c r="GT110" s="2">
        <v>0</v>
      </c>
      <c r="GU110" s="2" t="s">
        <v>3</v>
      </c>
      <c r="GV110" s="2">
        <f>0</f>
        <v>0</v>
      </c>
      <c r="GW110" s="2">
        <v>1</v>
      </c>
      <c r="GX110" s="2">
        <f>0</f>
        <v>0</v>
      </c>
      <c r="GY110" s="2"/>
      <c r="GZ110" s="2"/>
      <c r="HA110" s="2">
        <v>0</v>
      </c>
      <c r="HB110" s="2">
        <v>0</v>
      </c>
      <c r="HC110" s="2">
        <v>0</v>
      </c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>
        <v>0</v>
      </c>
      <c r="IL110" s="2"/>
      <c r="IM110" s="2"/>
      <c r="IN110" s="2"/>
      <c r="IO110" s="2"/>
      <c r="IP110" s="2"/>
      <c r="IQ110" s="2"/>
      <c r="IR110" s="2"/>
      <c r="IS110" s="2"/>
      <c r="IT110" s="2"/>
      <c r="IU110" s="2"/>
    </row>
    <row r="111" spans="1:255" x14ac:dyDescent="0.2">
      <c r="A111" s="66">
        <v>17</v>
      </c>
      <c r="B111">
        <v>1</v>
      </c>
      <c r="E111" t="s">
        <v>102</v>
      </c>
      <c r="F111" t="s">
        <v>103</v>
      </c>
      <c r="G111" t="s">
        <v>104</v>
      </c>
      <c r="H111" t="s">
        <v>105</v>
      </c>
      <c r="I111">
        <v>207.5</v>
      </c>
      <c r="J111">
        <v>0</v>
      </c>
      <c r="O111">
        <f>0</f>
        <v>0</v>
      </c>
      <c r="P111">
        <f>0</f>
        <v>0</v>
      </c>
      <c r="Q111">
        <f>0</f>
        <v>0</v>
      </c>
      <c r="R111">
        <f>0</f>
        <v>0</v>
      </c>
      <c r="S111">
        <f>0</f>
        <v>0</v>
      </c>
      <c r="T111">
        <f>0</f>
        <v>0</v>
      </c>
      <c r="U111">
        <f>0</f>
        <v>0</v>
      </c>
      <c r="V111">
        <f>0</f>
        <v>0</v>
      </c>
      <c r="W111">
        <f>0</f>
        <v>0</v>
      </c>
      <c r="X111">
        <f>0</f>
        <v>0</v>
      </c>
      <c r="Y111">
        <f>0</f>
        <v>0</v>
      </c>
      <c r="AA111">
        <v>49290730</v>
      </c>
      <c r="AB111">
        <f>ROUND((AK111),6)</f>
        <v>17.95</v>
      </c>
      <c r="AC111">
        <f>0</f>
        <v>0</v>
      </c>
      <c r="AD111">
        <f>0</f>
        <v>0</v>
      </c>
      <c r="AE111">
        <f>0</f>
        <v>0</v>
      </c>
      <c r="AF111">
        <f>0</f>
        <v>0</v>
      </c>
      <c r="AG111">
        <f>0</f>
        <v>0</v>
      </c>
      <c r="AH111">
        <f>0</f>
        <v>0</v>
      </c>
      <c r="AI111">
        <f>0</f>
        <v>0</v>
      </c>
      <c r="AJ111">
        <f>0</f>
        <v>0</v>
      </c>
      <c r="AK111">
        <v>17.95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1</v>
      </c>
      <c r="AW111">
        <v>1</v>
      </c>
      <c r="AZ111">
        <v>16.22</v>
      </c>
      <c r="BA111">
        <v>1</v>
      </c>
      <c r="BB111">
        <v>1</v>
      </c>
      <c r="BC111">
        <v>1</v>
      </c>
      <c r="BD111" t="s">
        <v>3</v>
      </c>
      <c r="BE111" t="s">
        <v>3</v>
      </c>
      <c r="BF111" t="s">
        <v>3</v>
      </c>
      <c r="BG111" t="s">
        <v>3</v>
      </c>
      <c r="BH111">
        <v>0</v>
      </c>
      <c r="BI111">
        <v>1</v>
      </c>
      <c r="BJ111" t="s">
        <v>106</v>
      </c>
      <c r="BM111">
        <v>700004</v>
      </c>
      <c r="BN111">
        <v>0</v>
      </c>
      <c r="BO111" t="s">
        <v>103</v>
      </c>
      <c r="BP111">
        <v>1</v>
      </c>
      <c r="BQ111">
        <v>19</v>
      </c>
      <c r="BR111">
        <v>0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 t="s">
        <v>3</v>
      </c>
      <c r="BZ111">
        <v>0</v>
      </c>
      <c r="CA111">
        <v>0</v>
      </c>
      <c r="CE111">
        <v>0</v>
      </c>
      <c r="CF111">
        <v>0</v>
      </c>
      <c r="CG111">
        <v>0</v>
      </c>
      <c r="CM111">
        <v>0</v>
      </c>
      <c r="CN111" t="s">
        <v>3</v>
      </c>
      <c r="CO111">
        <v>0</v>
      </c>
      <c r="CP111">
        <f>AB111*AZ111</f>
        <v>291.14899999999994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C111" t="s">
        <v>3</v>
      </c>
      <c r="DD111" t="s">
        <v>3</v>
      </c>
      <c r="DE111" t="s">
        <v>3</v>
      </c>
      <c r="DF111" t="s">
        <v>3</v>
      </c>
      <c r="DG111" t="s">
        <v>3</v>
      </c>
      <c r="DH111" t="s">
        <v>3</v>
      </c>
      <c r="DI111" t="s">
        <v>3</v>
      </c>
      <c r="DJ111" t="s">
        <v>3</v>
      </c>
      <c r="DK111" t="s">
        <v>3</v>
      </c>
      <c r="DL111" t="s">
        <v>3</v>
      </c>
      <c r="DM111" t="s">
        <v>3</v>
      </c>
      <c r="DN111">
        <v>0</v>
      </c>
      <c r="DO111">
        <v>0</v>
      </c>
      <c r="DP111">
        <v>1</v>
      </c>
      <c r="DQ111">
        <v>1</v>
      </c>
      <c r="DU111">
        <v>1013</v>
      </c>
      <c r="DV111" t="s">
        <v>105</v>
      </c>
      <c r="DW111" t="s">
        <v>105</v>
      </c>
      <c r="DX111">
        <v>1</v>
      </c>
      <c r="EE111">
        <v>49155286</v>
      </c>
      <c r="EF111">
        <v>19</v>
      </c>
      <c r="EG111" t="s">
        <v>107</v>
      </c>
      <c r="EH111">
        <v>0</v>
      </c>
      <c r="EI111" t="s">
        <v>3</v>
      </c>
      <c r="EJ111">
        <v>1</v>
      </c>
      <c r="EK111">
        <v>700004</v>
      </c>
      <c r="EL111" t="s">
        <v>108</v>
      </c>
      <c r="EM111" t="s">
        <v>109</v>
      </c>
      <c r="EO111" t="s">
        <v>3</v>
      </c>
      <c r="EQ111">
        <v>131072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FQ111">
        <v>0</v>
      </c>
      <c r="FR111">
        <f t="shared" si="102"/>
        <v>0</v>
      </c>
      <c r="FS111">
        <v>0</v>
      </c>
      <c r="FX111">
        <v>0</v>
      </c>
      <c r="FY111">
        <v>0</v>
      </c>
      <c r="GA111" t="s">
        <v>3</v>
      </c>
      <c r="GD111">
        <v>1</v>
      </c>
      <c r="GF111">
        <v>348627842</v>
      </c>
      <c r="GG111">
        <v>2</v>
      </c>
      <c r="GH111">
        <v>1</v>
      </c>
      <c r="GI111">
        <v>2</v>
      </c>
      <c r="GJ111">
        <v>2</v>
      </c>
      <c r="GK111">
        <v>0</v>
      </c>
      <c r="GL111">
        <f t="shared" si="103"/>
        <v>0</v>
      </c>
      <c r="GM111">
        <f>ROUND(CP111*I111,2)</f>
        <v>60413.42</v>
      </c>
      <c r="GN111">
        <f>IF(OR(BI111=0,BI111=1),ROUND(CP111*I111,2),0)</f>
        <v>60413.42</v>
      </c>
      <c r="GO111">
        <f>IF(BI111=2,ROUND(CP111*I111,2),0)</f>
        <v>0</v>
      </c>
      <c r="GP111">
        <f>IF(BI111=4,ROUND(CP111*I111,2)+GX111,0)</f>
        <v>0</v>
      </c>
      <c r="GR111">
        <v>0</v>
      </c>
      <c r="GS111">
        <v>3</v>
      </c>
      <c r="GT111">
        <v>0</v>
      </c>
      <c r="GU111" t="s">
        <v>3</v>
      </c>
      <c r="GV111">
        <f>0</f>
        <v>0</v>
      </c>
      <c r="GW111">
        <v>1</v>
      </c>
      <c r="GX111">
        <f>0</f>
        <v>0</v>
      </c>
      <c r="HA111">
        <v>0</v>
      </c>
      <c r="HB111">
        <v>0</v>
      </c>
      <c r="HC111">
        <v>0</v>
      </c>
      <c r="IK111">
        <v>0</v>
      </c>
    </row>
    <row r="112" spans="1:255" x14ac:dyDescent="0.2">
      <c r="A112" s="69">
        <v>17</v>
      </c>
      <c r="B112" s="2">
        <v>1</v>
      </c>
      <c r="C112" s="2"/>
      <c r="D112" s="2"/>
      <c r="E112" s="2" t="s">
        <v>110</v>
      </c>
      <c r="F112" s="2" t="s">
        <v>111</v>
      </c>
      <c r="G112" s="2" t="s">
        <v>112</v>
      </c>
      <c r="H112" s="2" t="s">
        <v>113</v>
      </c>
      <c r="I112" s="2">
        <v>18</v>
      </c>
      <c r="J112" s="2">
        <v>0</v>
      </c>
      <c r="K112" s="2"/>
      <c r="L112" s="2"/>
      <c r="M112" s="2"/>
      <c r="N112" s="2"/>
      <c r="O112" s="2">
        <f>ROUND(CP112,2)</f>
        <v>36882.18</v>
      </c>
      <c r="P112" s="2">
        <f>ROUND(CQ112*I112,2)</f>
        <v>36882.18</v>
      </c>
      <c r="Q112" s="2">
        <f>ROUND(CR112*I112,2)</f>
        <v>0</v>
      </c>
      <c r="R112" s="2">
        <f>ROUND(CS112*I112,2)</f>
        <v>0</v>
      </c>
      <c r="S112" s="2">
        <f>ROUND(CT112*I112,2)</f>
        <v>0</v>
      </c>
      <c r="T112" s="2">
        <f>ROUND(CU112*I112,2)</f>
        <v>0</v>
      </c>
      <c r="U112" s="2">
        <f>CV112*I112</f>
        <v>0</v>
      </c>
      <c r="V112" s="2">
        <f>CW112*I112</f>
        <v>0</v>
      </c>
      <c r="W112" s="2">
        <f>ROUND(CX112*I112,2)</f>
        <v>0</v>
      </c>
      <c r="X112" s="2">
        <f>ROUND(CY112,2)</f>
        <v>0</v>
      </c>
      <c r="Y112" s="2">
        <f>ROUND(CZ112,2)</f>
        <v>0</v>
      </c>
      <c r="Z112" s="2"/>
      <c r="AA112" s="2">
        <v>49290729</v>
      </c>
      <c r="AB112" s="2">
        <f>ROUND((AC112+AD112+AF112),6)</f>
        <v>2049.0100000000002</v>
      </c>
      <c r="AC112" s="2">
        <f>ROUND((ES112),6)</f>
        <v>2049.0100000000002</v>
      </c>
      <c r="AD112" s="2">
        <f>ROUND((((ET112)-(EU112))+AE112),6)</f>
        <v>0</v>
      </c>
      <c r="AE112" s="2">
        <f>ROUND((EU112),6)</f>
        <v>0</v>
      </c>
      <c r="AF112" s="2">
        <f>ROUND((EV112),6)</f>
        <v>0</v>
      </c>
      <c r="AG112" s="2">
        <f>ROUND((AP112),6)</f>
        <v>0</v>
      </c>
      <c r="AH112" s="2">
        <f>(EW112)</f>
        <v>0</v>
      </c>
      <c r="AI112" s="2">
        <f>(EX112)</f>
        <v>0</v>
      </c>
      <c r="AJ112" s="2">
        <f>(AS112)</f>
        <v>0</v>
      </c>
      <c r="AK112" s="2">
        <v>2049.0100000000002</v>
      </c>
      <c r="AL112" s="2">
        <v>2049.0100000000002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1</v>
      </c>
      <c r="AW112" s="2">
        <v>1</v>
      </c>
      <c r="AX112" s="2"/>
      <c r="AY112" s="2"/>
      <c r="AZ112" s="2">
        <v>1</v>
      </c>
      <c r="BA112" s="2">
        <v>1</v>
      </c>
      <c r="BB112" s="2">
        <v>1</v>
      </c>
      <c r="BC112" s="2">
        <v>1</v>
      </c>
      <c r="BD112" s="2" t="s">
        <v>3</v>
      </c>
      <c r="BE112" s="2" t="s">
        <v>3</v>
      </c>
      <c r="BF112" s="2" t="s">
        <v>3</v>
      </c>
      <c r="BG112" s="2" t="s">
        <v>3</v>
      </c>
      <c r="BH112" s="2">
        <v>3</v>
      </c>
      <c r="BI112" s="2">
        <v>4</v>
      </c>
      <c r="BJ112" s="2" t="s">
        <v>3</v>
      </c>
      <c r="BK112" s="2"/>
      <c r="BL112" s="2"/>
      <c r="BM112" s="2">
        <v>1100</v>
      </c>
      <c r="BN112" s="2">
        <v>0</v>
      </c>
      <c r="BO112" s="2" t="s">
        <v>3</v>
      </c>
      <c r="BP112" s="2">
        <v>0</v>
      </c>
      <c r="BQ112" s="2">
        <v>1</v>
      </c>
      <c r="BR112" s="2">
        <v>0</v>
      </c>
      <c r="BS112" s="2">
        <v>1</v>
      </c>
      <c r="BT112" s="2">
        <v>1</v>
      </c>
      <c r="BU112" s="2">
        <v>1</v>
      </c>
      <c r="BV112" s="2">
        <v>1</v>
      </c>
      <c r="BW112" s="2">
        <v>1</v>
      </c>
      <c r="BX112" s="2">
        <v>1</v>
      </c>
      <c r="BY112" s="2" t="s">
        <v>3</v>
      </c>
      <c r="BZ112" s="2">
        <v>0</v>
      </c>
      <c r="CA112" s="2">
        <v>0</v>
      </c>
      <c r="CB112" s="2"/>
      <c r="CC112" s="2"/>
      <c r="CD112" s="2"/>
      <c r="CE112" s="2">
        <v>0</v>
      </c>
      <c r="CF112" s="2">
        <v>0</v>
      </c>
      <c r="CG112" s="2">
        <v>0</v>
      </c>
      <c r="CH112" s="2"/>
      <c r="CI112" s="2"/>
      <c r="CJ112" s="2"/>
      <c r="CK112" s="2"/>
      <c r="CL112" s="2"/>
      <c r="CM112" s="2">
        <v>0</v>
      </c>
      <c r="CN112" s="2" t="s">
        <v>3</v>
      </c>
      <c r="CO112" s="2">
        <v>0</v>
      </c>
      <c r="CP112" s="2">
        <f>(P112+Q112+S112)</f>
        <v>36882.18</v>
      </c>
      <c r="CQ112" s="2">
        <f>AC112*BC112</f>
        <v>2049.0100000000002</v>
      </c>
      <c r="CR112" s="2">
        <f>AD112*BB112</f>
        <v>0</v>
      </c>
      <c r="CS112" s="2">
        <f>AE112*BS112</f>
        <v>0</v>
      </c>
      <c r="CT112" s="2">
        <f>AF112*BA112</f>
        <v>0</v>
      </c>
      <c r="CU112" s="2">
        <f t="shared" ref="CU112:CX113" si="104">AG112</f>
        <v>0</v>
      </c>
      <c r="CV112" s="2">
        <f t="shared" si="104"/>
        <v>0</v>
      </c>
      <c r="CW112" s="2">
        <f t="shared" si="104"/>
        <v>0</v>
      </c>
      <c r="CX112" s="2">
        <f t="shared" si="104"/>
        <v>0</v>
      </c>
      <c r="CY112" s="2">
        <f>(((S112+R112)*AT112)/100)</f>
        <v>0</v>
      </c>
      <c r="CZ112" s="2">
        <f>(((S112+R112)*AU112)/100)</f>
        <v>0</v>
      </c>
      <c r="DA112" s="2"/>
      <c r="DB112" s="2"/>
      <c r="DC112" s="2" t="s">
        <v>3</v>
      </c>
      <c r="DD112" s="2" t="s">
        <v>3</v>
      </c>
      <c r="DE112" s="2" t="s">
        <v>3</v>
      </c>
      <c r="DF112" s="2" t="s">
        <v>3</v>
      </c>
      <c r="DG112" s="2" t="s">
        <v>3</v>
      </c>
      <c r="DH112" s="2" t="s">
        <v>3</v>
      </c>
      <c r="DI112" s="2" t="s">
        <v>3</v>
      </c>
      <c r="DJ112" s="2" t="s">
        <v>3</v>
      </c>
      <c r="DK112" s="2" t="s">
        <v>3</v>
      </c>
      <c r="DL112" s="2" t="s">
        <v>3</v>
      </c>
      <c r="DM112" s="2" t="s">
        <v>3</v>
      </c>
      <c r="DN112" s="2">
        <v>0</v>
      </c>
      <c r="DO112" s="2">
        <v>0</v>
      </c>
      <c r="DP112" s="2">
        <v>1</v>
      </c>
      <c r="DQ112" s="2">
        <v>1</v>
      </c>
      <c r="DR112" s="2"/>
      <c r="DS112" s="2"/>
      <c r="DT112" s="2"/>
      <c r="DU112" s="2">
        <v>1013</v>
      </c>
      <c r="DV112" s="2" t="s">
        <v>113</v>
      </c>
      <c r="DW112" s="2" t="s">
        <v>113</v>
      </c>
      <c r="DX112" s="2">
        <v>1</v>
      </c>
      <c r="DY112" s="2"/>
      <c r="DZ112" s="2"/>
      <c r="EA112" s="2"/>
      <c r="EB112" s="2"/>
      <c r="EC112" s="2"/>
      <c r="ED112" s="2"/>
      <c r="EE112" s="2">
        <v>49155278</v>
      </c>
      <c r="EF112" s="2">
        <v>8</v>
      </c>
      <c r="EG112" s="2" t="s">
        <v>114</v>
      </c>
      <c r="EH112" s="2">
        <v>0</v>
      </c>
      <c r="EI112" s="2" t="s">
        <v>3</v>
      </c>
      <c r="EJ112" s="2">
        <v>1</v>
      </c>
      <c r="EK112" s="2">
        <v>1100</v>
      </c>
      <c r="EL112" s="2" t="s">
        <v>115</v>
      </c>
      <c r="EM112" s="2" t="s">
        <v>116</v>
      </c>
      <c r="EN112" s="2"/>
      <c r="EO112" s="2" t="s">
        <v>3</v>
      </c>
      <c r="EP112" s="2"/>
      <c r="EQ112" s="2">
        <v>131072</v>
      </c>
      <c r="ER112" s="2">
        <v>2049.0100000000002</v>
      </c>
      <c r="ES112" s="2">
        <v>2049.0100000000002</v>
      </c>
      <c r="ET112" s="2">
        <v>0</v>
      </c>
      <c r="EU112" s="2">
        <v>0</v>
      </c>
      <c r="EV112" s="2">
        <v>0</v>
      </c>
      <c r="EW112" s="2">
        <v>0</v>
      </c>
      <c r="EX112" s="2">
        <v>0</v>
      </c>
      <c r="EY112" s="2">
        <v>0</v>
      </c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>
        <v>0</v>
      </c>
      <c r="FR112" s="2">
        <f t="shared" si="102"/>
        <v>0</v>
      </c>
      <c r="FS112" s="2">
        <v>0</v>
      </c>
      <c r="FT112" s="2"/>
      <c r="FU112" s="2"/>
      <c r="FV112" s="2"/>
      <c r="FW112" s="2"/>
      <c r="FX112" s="2">
        <v>0</v>
      </c>
      <c r="FY112" s="2">
        <v>0</v>
      </c>
      <c r="FZ112" s="2"/>
      <c r="GA112" s="2" t="s">
        <v>117</v>
      </c>
      <c r="GB112" s="2"/>
      <c r="GC112" s="2"/>
      <c r="GD112" s="2">
        <v>1</v>
      </c>
      <c r="GE112" s="2"/>
      <c r="GF112" s="2">
        <v>-45276614</v>
      </c>
      <c r="GG112" s="2">
        <v>2</v>
      </c>
      <c r="GH112" s="2">
        <v>4</v>
      </c>
      <c r="GI112" s="2">
        <v>3</v>
      </c>
      <c r="GJ112" s="2">
        <v>0</v>
      </c>
      <c r="GK112" s="2">
        <v>0</v>
      </c>
      <c r="GL112" s="2">
        <f t="shared" si="103"/>
        <v>0</v>
      </c>
      <c r="GM112" s="2">
        <f>ROUND(O112+X112+Y112,2)+GX112</f>
        <v>36882.18</v>
      </c>
      <c r="GN112" s="2">
        <f>IF(OR(BI112=0,BI112=1),ROUND(O112+X112+Y112,2),0)</f>
        <v>0</v>
      </c>
      <c r="GO112" s="2">
        <f>IF(BI112=2,ROUND(O112+X112+Y112,2),0)</f>
        <v>0</v>
      </c>
      <c r="GP112" s="2">
        <f>IF(BI112=4,ROUND(O112+X112+Y112,2)+GX112,0)</f>
        <v>36882.18</v>
      </c>
      <c r="GQ112" s="2"/>
      <c r="GR112" s="2">
        <v>1</v>
      </c>
      <c r="GS112" s="2">
        <v>2</v>
      </c>
      <c r="GT112" s="2">
        <v>0</v>
      </c>
      <c r="GU112" s="2" t="s">
        <v>3</v>
      </c>
      <c r="GV112" s="2">
        <f>ROUND((GT112),6)</f>
        <v>0</v>
      </c>
      <c r="GW112" s="2">
        <v>1</v>
      </c>
      <c r="GX112" s="2">
        <f>ROUND(HC112*I112,2)</f>
        <v>0</v>
      </c>
      <c r="GY112" s="2"/>
      <c r="GZ112" s="2"/>
      <c r="HA112" s="2">
        <v>0</v>
      </c>
      <c r="HB112" s="2">
        <v>0</v>
      </c>
      <c r="HC112" s="2">
        <f>GV112*GW112</f>
        <v>0</v>
      </c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>
        <v>0</v>
      </c>
      <c r="IL112" s="2"/>
      <c r="IM112" s="2"/>
      <c r="IN112" s="2"/>
      <c r="IO112" s="2"/>
      <c r="IP112" s="2"/>
      <c r="IQ112" s="2"/>
      <c r="IR112" s="2"/>
      <c r="IS112" s="2"/>
      <c r="IT112" s="2"/>
      <c r="IU112" s="2"/>
    </row>
    <row r="113" spans="1:245" x14ac:dyDescent="0.2">
      <c r="A113" s="66">
        <v>17</v>
      </c>
      <c r="B113">
        <v>1</v>
      </c>
      <c r="E113" t="s">
        <v>110</v>
      </c>
      <c r="F113" t="s">
        <v>111</v>
      </c>
      <c r="G113" t="s">
        <v>112</v>
      </c>
      <c r="H113" t="s">
        <v>113</v>
      </c>
      <c r="I113">
        <v>18</v>
      </c>
      <c r="J113">
        <v>0</v>
      </c>
      <c r="O113">
        <f>ROUND(CP113,2)</f>
        <v>291000.40000000002</v>
      </c>
      <c r="P113">
        <f>ROUND(CQ113*I113,2)</f>
        <v>291000.40000000002</v>
      </c>
      <c r="Q113">
        <f>ROUND(CR113*I113,2)</f>
        <v>0</v>
      </c>
      <c r="R113">
        <f>ROUND(CS113*I113,2)</f>
        <v>0</v>
      </c>
      <c r="S113">
        <f>ROUND(CT113*I113,2)</f>
        <v>0</v>
      </c>
      <c r="T113">
        <f>ROUND(CU113*I113,2)</f>
        <v>0</v>
      </c>
      <c r="U113">
        <f>CV113*I113</f>
        <v>0</v>
      </c>
      <c r="V113">
        <f>CW113*I113</f>
        <v>0</v>
      </c>
      <c r="W113">
        <f>ROUND(CX113*I113,2)</f>
        <v>0</v>
      </c>
      <c r="X113">
        <f>ROUND(CY113,2)</f>
        <v>0</v>
      </c>
      <c r="Y113">
        <f>ROUND(CZ113,2)</f>
        <v>0</v>
      </c>
      <c r="AA113">
        <v>49290730</v>
      </c>
      <c r="AB113">
        <f>ROUND((AC113+AD113+AF113),6)</f>
        <v>2049.0100000000002</v>
      </c>
      <c r="AC113">
        <f>ROUND((ES113),6)</f>
        <v>2049.0100000000002</v>
      </c>
      <c r="AD113">
        <f>ROUND((((ET113)-(EU113))+AE113),6)</f>
        <v>0</v>
      </c>
      <c r="AE113">
        <f>ROUND((EU113),6)</f>
        <v>0</v>
      </c>
      <c r="AF113">
        <f>ROUND((EV113),6)</f>
        <v>0</v>
      </c>
      <c r="AG113">
        <f>ROUND((AP113),6)</f>
        <v>0</v>
      </c>
      <c r="AH113">
        <f>(EW113)</f>
        <v>0</v>
      </c>
      <c r="AI113">
        <f>(EX113)</f>
        <v>0</v>
      </c>
      <c r="AJ113">
        <f>(AS113)</f>
        <v>0</v>
      </c>
      <c r="AK113">
        <v>2049.0100000000002</v>
      </c>
      <c r="AL113">
        <v>2049.0100000000002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1</v>
      </c>
      <c r="AW113">
        <v>1</v>
      </c>
      <c r="AZ113">
        <v>1</v>
      </c>
      <c r="BA113">
        <v>7.89</v>
      </c>
      <c r="BB113">
        <v>7.89</v>
      </c>
      <c r="BC113">
        <v>7.89</v>
      </c>
      <c r="BD113" t="s">
        <v>3</v>
      </c>
      <c r="BE113" t="s">
        <v>3</v>
      </c>
      <c r="BF113" t="s">
        <v>3</v>
      </c>
      <c r="BG113" t="s">
        <v>3</v>
      </c>
      <c r="BH113">
        <v>3</v>
      </c>
      <c r="BI113">
        <v>4</v>
      </c>
      <c r="BJ113" t="s">
        <v>3</v>
      </c>
      <c r="BM113">
        <v>1100</v>
      </c>
      <c r="BN113">
        <v>0</v>
      </c>
      <c r="BO113" t="s">
        <v>3</v>
      </c>
      <c r="BP113">
        <v>0</v>
      </c>
      <c r="BQ113">
        <v>1</v>
      </c>
      <c r="BR113">
        <v>0</v>
      </c>
      <c r="BS113">
        <v>7.89</v>
      </c>
      <c r="BT113">
        <v>1</v>
      </c>
      <c r="BU113">
        <v>1</v>
      </c>
      <c r="BV113">
        <v>1</v>
      </c>
      <c r="BW113">
        <v>1</v>
      </c>
      <c r="BX113">
        <v>1</v>
      </c>
      <c r="BY113" t="s">
        <v>3</v>
      </c>
      <c r="BZ113">
        <v>0</v>
      </c>
      <c r="CA113">
        <v>0</v>
      </c>
      <c r="CE113">
        <v>0</v>
      </c>
      <c r="CF113">
        <v>0</v>
      </c>
      <c r="CG113">
        <v>0</v>
      </c>
      <c r="CM113">
        <v>0</v>
      </c>
      <c r="CN113" t="s">
        <v>3</v>
      </c>
      <c r="CO113">
        <v>0</v>
      </c>
      <c r="CP113">
        <f>(P113+Q113+S113)</f>
        <v>291000.40000000002</v>
      </c>
      <c r="CQ113">
        <f>AC113*BC113</f>
        <v>16166.688900000001</v>
      </c>
      <c r="CR113">
        <f>AD113*BB113</f>
        <v>0</v>
      </c>
      <c r="CS113">
        <f>AE113*BS113</f>
        <v>0</v>
      </c>
      <c r="CT113">
        <f>AF113*BA113</f>
        <v>0</v>
      </c>
      <c r="CU113">
        <f t="shared" si="104"/>
        <v>0</v>
      </c>
      <c r="CV113">
        <f t="shared" si="104"/>
        <v>0</v>
      </c>
      <c r="CW113">
        <f t="shared" si="104"/>
        <v>0</v>
      </c>
      <c r="CX113">
        <f t="shared" si="104"/>
        <v>0</v>
      </c>
      <c r="CY113">
        <f>(((S113+R113)*AT113)/100)</f>
        <v>0</v>
      </c>
      <c r="CZ113">
        <f>(((S113+R113)*AU113)/100)</f>
        <v>0</v>
      </c>
      <c r="DC113" t="s">
        <v>3</v>
      </c>
      <c r="DD113" t="s">
        <v>3</v>
      </c>
      <c r="DE113" t="s">
        <v>3</v>
      </c>
      <c r="DF113" t="s">
        <v>3</v>
      </c>
      <c r="DG113" t="s">
        <v>3</v>
      </c>
      <c r="DH113" t="s">
        <v>3</v>
      </c>
      <c r="DI113" t="s">
        <v>3</v>
      </c>
      <c r="DJ113" t="s">
        <v>3</v>
      </c>
      <c r="DK113" t="s">
        <v>3</v>
      </c>
      <c r="DL113" t="s">
        <v>3</v>
      </c>
      <c r="DM113" t="s">
        <v>3</v>
      </c>
      <c r="DN113">
        <v>0</v>
      </c>
      <c r="DO113">
        <v>0</v>
      </c>
      <c r="DP113">
        <v>1</v>
      </c>
      <c r="DQ113">
        <v>1</v>
      </c>
      <c r="DU113">
        <v>1013</v>
      </c>
      <c r="DV113" t="s">
        <v>113</v>
      </c>
      <c r="DW113" t="s">
        <v>113</v>
      </c>
      <c r="DX113">
        <v>1</v>
      </c>
      <c r="EE113">
        <v>49155278</v>
      </c>
      <c r="EF113">
        <v>8</v>
      </c>
      <c r="EG113" t="s">
        <v>114</v>
      </c>
      <c r="EH113">
        <v>0</v>
      </c>
      <c r="EI113" t="s">
        <v>3</v>
      </c>
      <c r="EJ113">
        <v>1</v>
      </c>
      <c r="EK113">
        <v>1100</v>
      </c>
      <c r="EL113" t="s">
        <v>115</v>
      </c>
      <c r="EM113" t="s">
        <v>116</v>
      </c>
      <c r="EO113" t="s">
        <v>3</v>
      </c>
      <c r="EQ113">
        <v>131072</v>
      </c>
      <c r="ER113">
        <v>2049.0100000000002</v>
      </c>
      <c r="ES113">
        <v>2049.0100000000002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5</v>
      </c>
      <c r="FC113">
        <v>1</v>
      </c>
      <c r="FD113">
        <v>18</v>
      </c>
      <c r="FF113">
        <v>19400</v>
      </c>
      <c r="FQ113">
        <v>0</v>
      </c>
      <c r="FR113">
        <f t="shared" si="102"/>
        <v>0</v>
      </c>
      <c r="FS113">
        <v>0</v>
      </c>
      <c r="FX113">
        <v>0</v>
      </c>
      <c r="FY113">
        <v>0</v>
      </c>
      <c r="GA113" t="s">
        <v>117</v>
      </c>
      <c r="GD113">
        <v>1</v>
      </c>
      <c r="GF113">
        <v>-45276614</v>
      </c>
      <c r="GG113">
        <v>2</v>
      </c>
      <c r="GH113">
        <v>3</v>
      </c>
      <c r="GI113">
        <v>3</v>
      </c>
      <c r="GJ113">
        <v>0</v>
      </c>
      <c r="GK113">
        <v>0</v>
      </c>
      <c r="GL113">
        <f t="shared" si="103"/>
        <v>0</v>
      </c>
      <c r="GM113">
        <f>ROUND(O113+X113+Y113,2)+GX113</f>
        <v>291000.40000000002</v>
      </c>
      <c r="GN113">
        <f>IF(OR(BI113=0,BI113=1),ROUND(O113+X113+Y113,2),0)</f>
        <v>0</v>
      </c>
      <c r="GO113">
        <f>IF(BI113=2,ROUND(O113+X113+Y113,2),0)</f>
        <v>0</v>
      </c>
      <c r="GP113">
        <f>IF(BI113=4,ROUND(O113+X113+Y113,2)+GX113,0)</f>
        <v>291000.40000000002</v>
      </c>
      <c r="GR113">
        <v>1</v>
      </c>
      <c r="GS113">
        <v>1</v>
      </c>
      <c r="GT113">
        <v>0</v>
      </c>
      <c r="GU113" t="s">
        <v>3</v>
      </c>
      <c r="GV113">
        <f>ROUND((GT113),6)</f>
        <v>0</v>
      </c>
      <c r="GW113">
        <v>1</v>
      </c>
      <c r="GX113">
        <f>ROUND(HC113*I113,2)</f>
        <v>0</v>
      </c>
      <c r="HA113">
        <v>0</v>
      </c>
      <c r="HB113">
        <v>0</v>
      </c>
      <c r="HC113">
        <f>GV113*GW113</f>
        <v>0</v>
      </c>
      <c r="IK113">
        <v>0</v>
      </c>
    </row>
    <row r="115" spans="1:245" x14ac:dyDescent="0.2">
      <c r="A115" s="68">
        <v>51</v>
      </c>
      <c r="B115" s="3">
        <f>B104</f>
        <v>1</v>
      </c>
      <c r="C115" s="3">
        <f>A104</f>
        <v>4</v>
      </c>
      <c r="D115" s="3">
        <f>ROW(A104)</f>
        <v>104</v>
      </c>
      <c r="E115" s="3"/>
      <c r="F115" s="3" t="str">
        <f>IF(F104&lt;&gt;"",F104,"")</f>
        <v>Новый раздел</v>
      </c>
      <c r="G115" s="3" t="str">
        <f>IF(G104&lt;&gt;"",G104,"")</f>
        <v>№3  Прочие работы.</v>
      </c>
      <c r="H115" s="3">
        <v>0</v>
      </c>
      <c r="I115" s="3"/>
      <c r="J115" s="3"/>
      <c r="K115" s="3"/>
      <c r="L115" s="3"/>
      <c r="M115" s="3"/>
      <c r="N115" s="3"/>
      <c r="O115" s="3">
        <f t="shared" ref="O115:T115" si="105">ROUND(AB115,2)</f>
        <v>41822.76</v>
      </c>
      <c r="P115" s="3">
        <f t="shared" si="105"/>
        <v>40285.18</v>
      </c>
      <c r="Q115" s="3">
        <f t="shared" si="105"/>
        <v>0</v>
      </c>
      <c r="R115" s="3">
        <f t="shared" si="105"/>
        <v>0</v>
      </c>
      <c r="S115" s="3">
        <f t="shared" si="105"/>
        <v>1537.58</v>
      </c>
      <c r="T115" s="3">
        <f t="shared" si="105"/>
        <v>0</v>
      </c>
      <c r="U115" s="3">
        <f>AH115</f>
        <v>213.72499999999999</v>
      </c>
      <c r="V115" s="3">
        <f>AI115</f>
        <v>0</v>
      </c>
      <c r="W115" s="3">
        <f>ROUND(AJ115,2)</f>
        <v>0</v>
      </c>
      <c r="X115" s="3">
        <f>ROUND(AK115,2)</f>
        <v>1199.31</v>
      </c>
      <c r="Y115" s="3">
        <f>ROUND(AL115,2)</f>
        <v>768.79</v>
      </c>
      <c r="Z115" s="3"/>
      <c r="AA115" s="3"/>
      <c r="AB115" s="3">
        <f>ROUND(SUMIF(AA108:AA113,"=49290729",O108:O113),2)</f>
        <v>41822.76</v>
      </c>
      <c r="AC115" s="3">
        <f>ROUND(SUMIF(AA108:AA113,"=49290729",P108:P113),2)</f>
        <v>40285.18</v>
      </c>
      <c r="AD115" s="3">
        <f>ROUND(SUMIF(AA108:AA113,"=49290729",Q108:Q113),2)</f>
        <v>0</v>
      </c>
      <c r="AE115" s="3">
        <f>ROUND(SUMIF(AA108:AA113,"=49290729",R108:R113),2)</f>
        <v>0</v>
      </c>
      <c r="AF115" s="3">
        <f>ROUND(SUMIF(AA108:AA113,"=49290729",S108:S113),2)</f>
        <v>1537.58</v>
      </c>
      <c r="AG115" s="3">
        <f>ROUND(SUMIF(AA108:AA113,"=49290729",T108:T113),2)</f>
        <v>0</v>
      </c>
      <c r="AH115" s="3">
        <f>SUMIF(AA108:AA113,"=49290729",U108:U113)</f>
        <v>213.72499999999999</v>
      </c>
      <c r="AI115" s="3">
        <f>SUMIF(AA108:AA113,"=49290729",V108:V113)</f>
        <v>0</v>
      </c>
      <c r="AJ115" s="3">
        <f>ROUND(SUMIF(AA108:AA113,"=49290729",W108:W113),2)</f>
        <v>0</v>
      </c>
      <c r="AK115" s="3">
        <f>ROUND(SUMIF(AA108:AA113,"=49290729",X108:X113),2)</f>
        <v>1199.31</v>
      </c>
      <c r="AL115" s="3">
        <f>ROUND(SUMIF(AA108:AA113,"=49290729",Y108:Y113),2)</f>
        <v>768.79</v>
      </c>
      <c r="AM115" s="3"/>
      <c r="AN115" s="3"/>
      <c r="AO115" s="3">
        <f t="shared" ref="AO115:BC115" si="106">ROUND(BX115,2)</f>
        <v>0</v>
      </c>
      <c r="AP115" s="3">
        <f t="shared" si="106"/>
        <v>0</v>
      </c>
      <c r="AQ115" s="3">
        <f t="shared" si="106"/>
        <v>0</v>
      </c>
      <c r="AR115" s="3">
        <f t="shared" si="106"/>
        <v>47515.49</v>
      </c>
      <c r="AS115" s="3">
        <f t="shared" si="106"/>
        <v>10633.31</v>
      </c>
      <c r="AT115" s="3">
        <f t="shared" si="106"/>
        <v>0</v>
      </c>
      <c r="AU115" s="3">
        <f t="shared" si="106"/>
        <v>36882.18</v>
      </c>
      <c r="AV115" s="3">
        <f t="shared" si="106"/>
        <v>40285.18</v>
      </c>
      <c r="AW115" s="3">
        <f t="shared" si="106"/>
        <v>40285.18</v>
      </c>
      <c r="AX115" s="3">
        <f t="shared" si="106"/>
        <v>0</v>
      </c>
      <c r="AY115" s="3">
        <f t="shared" si="106"/>
        <v>40285.18</v>
      </c>
      <c r="AZ115" s="3">
        <f t="shared" si="106"/>
        <v>0</v>
      </c>
      <c r="BA115" s="3">
        <f t="shared" si="106"/>
        <v>0</v>
      </c>
      <c r="BB115" s="3">
        <f t="shared" si="106"/>
        <v>0</v>
      </c>
      <c r="BC115" s="3">
        <f t="shared" si="106"/>
        <v>0</v>
      </c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>
        <f>ROUND(SUMIF(AA108:AA113,"=49290729",FQ108:FQ113),2)</f>
        <v>0</v>
      </c>
      <c r="BY115" s="3">
        <f>ROUND(SUMIF(AA108:AA113,"=49290729",FR108:FR113),2)</f>
        <v>0</v>
      </c>
      <c r="BZ115" s="3">
        <f>ROUND(SUMIF(AA108:AA113,"=49290729",GL108:GL113),2)</f>
        <v>0</v>
      </c>
      <c r="CA115" s="3">
        <f>ROUND(SUMIF(AA108:AA113,"=49290729",GM108:GM113),2)</f>
        <v>47515.49</v>
      </c>
      <c r="CB115" s="3">
        <f>ROUND(SUMIF(AA108:AA113,"=49290729",GN108:GN113),2)</f>
        <v>10633.31</v>
      </c>
      <c r="CC115" s="3">
        <f>ROUND(SUMIF(AA108:AA113,"=49290729",GO108:GO113),2)</f>
        <v>0</v>
      </c>
      <c r="CD115" s="3">
        <f>ROUND(SUMIF(AA108:AA113,"=49290729",GP108:GP113),2)</f>
        <v>36882.18</v>
      </c>
      <c r="CE115" s="3">
        <f>AC115-BX115</f>
        <v>40285.18</v>
      </c>
      <c r="CF115" s="3">
        <f>AC115-BY115</f>
        <v>40285.18</v>
      </c>
      <c r="CG115" s="3">
        <f>BX115-BZ115</f>
        <v>0</v>
      </c>
      <c r="CH115" s="3">
        <f>AC115-BX115-BY115+BZ115</f>
        <v>40285.18</v>
      </c>
      <c r="CI115" s="3">
        <f>BY115-BZ115</f>
        <v>0</v>
      </c>
      <c r="CJ115" s="3">
        <f>ROUND(SUMIF(AA108:AA113,"=49290729",GX108:GX113),2)</f>
        <v>0</v>
      </c>
      <c r="CK115" s="3">
        <f>ROUND(SUMIF(AA108:AA113,"=49290729",GY108:GY113),2)</f>
        <v>0</v>
      </c>
      <c r="CL115" s="3">
        <f>ROUND(SUMIF(AA108:AA113,"=49290729",GZ108:GZ113),2)</f>
        <v>0</v>
      </c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4">
        <f t="shared" ref="DG115:DL115" si="107">ROUND(DT115,2)</f>
        <v>356621.53</v>
      </c>
      <c r="DH115" s="4">
        <f t="shared" si="107"/>
        <v>310125.26</v>
      </c>
      <c r="DI115" s="4">
        <f t="shared" si="107"/>
        <v>0</v>
      </c>
      <c r="DJ115" s="4">
        <f t="shared" si="107"/>
        <v>0</v>
      </c>
      <c r="DK115" s="4">
        <f t="shared" si="107"/>
        <v>46496.27</v>
      </c>
      <c r="DL115" s="4">
        <f t="shared" si="107"/>
        <v>0</v>
      </c>
      <c r="DM115" s="4">
        <f>DZ115</f>
        <v>213.72499999999999</v>
      </c>
      <c r="DN115" s="4">
        <f>EA115</f>
        <v>0</v>
      </c>
      <c r="DO115" s="4">
        <f>ROUND(EB115,2)</f>
        <v>0</v>
      </c>
      <c r="DP115" s="4">
        <f>ROUND(EC115,2)</f>
        <v>36267.089999999997</v>
      </c>
      <c r="DQ115" s="4">
        <f>ROUND(ED115,2)</f>
        <v>23248.14</v>
      </c>
      <c r="DR115" s="4"/>
      <c r="DS115" s="4"/>
      <c r="DT115" s="4">
        <f>ROUND(SUMIF(AA108:AA113,"=49290730",O108:O113),2)</f>
        <v>356621.53</v>
      </c>
      <c r="DU115" s="4">
        <f>ROUND(SUMIF(AA108:AA113,"=49290730",P108:P113),2)</f>
        <v>310125.26</v>
      </c>
      <c r="DV115" s="4">
        <f>ROUND(SUMIF(AA108:AA113,"=49290730",Q108:Q113),2)</f>
        <v>0</v>
      </c>
      <c r="DW115" s="4">
        <f>ROUND(SUMIF(AA108:AA113,"=49290730",R108:R113),2)</f>
        <v>0</v>
      </c>
      <c r="DX115" s="4">
        <f>ROUND(SUMIF(AA108:AA113,"=49290730",S108:S113),2)</f>
        <v>46496.27</v>
      </c>
      <c r="DY115" s="4">
        <f>ROUND(SUMIF(AA108:AA113,"=49290730",T108:T113),2)</f>
        <v>0</v>
      </c>
      <c r="DZ115" s="4">
        <f>SUMIF(AA108:AA113,"=49290730",U108:U113)</f>
        <v>213.72499999999999</v>
      </c>
      <c r="EA115" s="4">
        <f>SUMIF(AA108:AA113,"=49290730",V108:V113)</f>
        <v>0</v>
      </c>
      <c r="EB115" s="4">
        <f>ROUND(SUMIF(AA108:AA113,"=49290730",W108:W113),2)</f>
        <v>0</v>
      </c>
      <c r="EC115" s="4">
        <f>ROUND(SUMIF(AA108:AA113,"=49290730",X108:X113),2)</f>
        <v>36267.089999999997</v>
      </c>
      <c r="ED115" s="4">
        <f>ROUND(SUMIF(AA108:AA113,"=49290730",Y108:Y113),2)</f>
        <v>23248.14</v>
      </c>
      <c r="EE115" s="4"/>
      <c r="EF115" s="4"/>
      <c r="EG115" s="4">
        <f t="shared" ref="EG115:EU115" si="108">ROUND(FP115,2)</f>
        <v>0</v>
      </c>
      <c r="EH115" s="4">
        <f t="shared" si="108"/>
        <v>0</v>
      </c>
      <c r="EI115" s="4">
        <f t="shared" si="108"/>
        <v>0</v>
      </c>
      <c r="EJ115" s="4">
        <f t="shared" si="108"/>
        <v>476550.18</v>
      </c>
      <c r="EK115" s="4">
        <f t="shared" si="108"/>
        <v>185549.78</v>
      </c>
      <c r="EL115" s="4">
        <f t="shared" si="108"/>
        <v>0</v>
      </c>
      <c r="EM115" s="4">
        <f t="shared" si="108"/>
        <v>291000.40000000002</v>
      </c>
      <c r="EN115" s="4">
        <f t="shared" si="108"/>
        <v>310125.26</v>
      </c>
      <c r="EO115" s="4">
        <f t="shared" si="108"/>
        <v>310125.26</v>
      </c>
      <c r="EP115" s="4">
        <f t="shared" si="108"/>
        <v>0</v>
      </c>
      <c r="EQ115" s="4">
        <f t="shared" si="108"/>
        <v>310125.26</v>
      </c>
      <c r="ER115" s="4">
        <f t="shared" si="108"/>
        <v>0</v>
      </c>
      <c r="ES115" s="4">
        <f t="shared" si="108"/>
        <v>0</v>
      </c>
      <c r="ET115" s="4">
        <f t="shared" si="108"/>
        <v>0</v>
      </c>
      <c r="EU115" s="4">
        <f t="shared" si="108"/>
        <v>0</v>
      </c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>
        <f>ROUND(SUMIF(AA108:AA113,"=49290730",FQ108:FQ113),2)</f>
        <v>0</v>
      </c>
      <c r="FQ115" s="4">
        <f>ROUND(SUMIF(AA108:AA113,"=49290730",FR108:FR113),2)</f>
        <v>0</v>
      </c>
      <c r="FR115" s="4">
        <f>ROUND(SUMIF(AA108:AA113,"=49290730",GL108:GL113),2)</f>
        <v>0</v>
      </c>
      <c r="FS115" s="4">
        <f>ROUND(SUMIF(AA108:AA113,"=49290730",GM108:GM113),2)</f>
        <v>476550.18</v>
      </c>
      <c r="FT115" s="4">
        <f>ROUND(SUMIF(AA108:AA113,"=49290730",GN108:GN113),2)</f>
        <v>185549.78</v>
      </c>
      <c r="FU115" s="4">
        <f>ROUND(SUMIF(AA108:AA113,"=49290730",GO108:GO113),2)</f>
        <v>0</v>
      </c>
      <c r="FV115" s="4">
        <f>ROUND(SUMIF(AA108:AA113,"=49290730",GP108:GP113),2)</f>
        <v>291000.40000000002</v>
      </c>
      <c r="FW115" s="4">
        <f>DU115-FP115</f>
        <v>310125.26</v>
      </c>
      <c r="FX115" s="4">
        <f>DU115-FQ115</f>
        <v>310125.26</v>
      </c>
      <c r="FY115" s="4">
        <f>FP115-FR115</f>
        <v>0</v>
      </c>
      <c r="FZ115" s="4">
        <f>DU115-FP115-FQ115+FR115</f>
        <v>310125.26</v>
      </c>
      <c r="GA115" s="4">
        <f>FQ115-FR115</f>
        <v>0</v>
      </c>
      <c r="GB115" s="4">
        <f>ROUND(SUMIF(AA108:AA113,"=49290730",GX108:GX113),2)</f>
        <v>0</v>
      </c>
      <c r="GC115" s="4">
        <f>ROUND(SUMIF(AA108:AA113,"=49290730",GY108:GY113),2)</f>
        <v>0</v>
      </c>
      <c r="GD115" s="4">
        <f>ROUND(SUMIF(AA108:AA113,"=49290730",GZ108:GZ113),2)</f>
        <v>0</v>
      </c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>
        <v>0</v>
      </c>
    </row>
    <row r="117" spans="1:245" x14ac:dyDescent="0.2">
      <c r="A117" s="70">
        <v>50</v>
      </c>
      <c r="B117" s="5">
        <v>0</v>
      </c>
      <c r="C117" s="5">
        <v>0</v>
      </c>
      <c r="D117" s="5">
        <v>1</v>
      </c>
      <c r="E117" s="5">
        <v>201</v>
      </c>
      <c r="F117" s="5">
        <f>ROUND(Source!O115,O117)</f>
        <v>41822.76</v>
      </c>
      <c r="G117" s="5" t="s">
        <v>38</v>
      </c>
      <c r="H117" s="5" t="s">
        <v>39</v>
      </c>
      <c r="I117" s="5"/>
      <c r="J117" s="5"/>
      <c r="K117" s="5">
        <v>201</v>
      </c>
      <c r="L117" s="5">
        <v>1</v>
      </c>
      <c r="M117" s="5">
        <v>3</v>
      </c>
      <c r="N117" s="5" t="s">
        <v>3</v>
      </c>
      <c r="O117" s="5">
        <v>2</v>
      </c>
      <c r="P117" s="5">
        <f>ROUND(Source!DG115,O117)</f>
        <v>356621.53</v>
      </c>
      <c r="Q117" s="5"/>
      <c r="R117" s="5"/>
      <c r="S117" s="5"/>
      <c r="T117" s="5"/>
      <c r="U117" s="5"/>
      <c r="V117" s="5"/>
      <c r="W117" s="5"/>
    </row>
    <row r="118" spans="1:245" x14ac:dyDescent="0.2">
      <c r="A118" s="70">
        <v>50</v>
      </c>
      <c r="B118" s="5">
        <v>0</v>
      </c>
      <c r="C118" s="5">
        <v>0</v>
      </c>
      <c r="D118" s="5">
        <v>1</v>
      </c>
      <c r="E118" s="5">
        <v>202</v>
      </c>
      <c r="F118" s="5">
        <f>ROUND(Source!P115,O118)</f>
        <v>40285.18</v>
      </c>
      <c r="G118" s="5" t="s">
        <v>40</v>
      </c>
      <c r="H118" s="5" t="s">
        <v>41</v>
      </c>
      <c r="I118" s="5"/>
      <c r="J118" s="5"/>
      <c r="K118" s="5">
        <v>202</v>
      </c>
      <c r="L118" s="5">
        <v>2</v>
      </c>
      <c r="M118" s="5">
        <v>3</v>
      </c>
      <c r="N118" s="5" t="s">
        <v>3</v>
      </c>
      <c r="O118" s="5">
        <v>2</v>
      </c>
      <c r="P118" s="5">
        <f>ROUND(Source!DH115,O118)</f>
        <v>310125.26</v>
      </c>
      <c r="Q118" s="5"/>
      <c r="R118" s="5"/>
      <c r="S118" s="5"/>
      <c r="T118" s="5"/>
      <c r="U118" s="5"/>
      <c r="V118" s="5"/>
      <c r="W118" s="5"/>
    </row>
    <row r="119" spans="1:245" x14ac:dyDescent="0.2">
      <c r="A119" s="70">
        <v>50</v>
      </c>
      <c r="B119" s="5">
        <v>0</v>
      </c>
      <c r="C119" s="5">
        <v>0</v>
      </c>
      <c r="D119" s="5">
        <v>1</v>
      </c>
      <c r="E119" s="5">
        <v>222</v>
      </c>
      <c r="F119" s="5">
        <f>ROUND(Source!AO115,O119)</f>
        <v>0</v>
      </c>
      <c r="G119" s="5" t="s">
        <v>42</v>
      </c>
      <c r="H119" s="5" t="s">
        <v>43</v>
      </c>
      <c r="I119" s="5"/>
      <c r="J119" s="5"/>
      <c r="K119" s="5">
        <v>222</v>
      </c>
      <c r="L119" s="5">
        <v>3</v>
      </c>
      <c r="M119" s="5">
        <v>3</v>
      </c>
      <c r="N119" s="5" t="s">
        <v>3</v>
      </c>
      <c r="O119" s="5">
        <v>2</v>
      </c>
      <c r="P119" s="5">
        <f>ROUND(Source!EG115,O119)</f>
        <v>0</v>
      </c>
      <c r="Q119" s="5"/>
      <c r="R119" s="5"/>
      <c r="S119" s="5"/>
      <c r="T119" s="5"/>
      <c r="U119" s="5"/>
      <c r="V119" s="5"/>
      <c r="W119" s="5"/>
    </row>
    <row r="120" spans="1:245" x14ac:dyDescent="0.2">
      <c r="A120" s="70">
        <v>50</v>
      </c>
      <c r="B120" s="5">
        <v>0</v>
      </c>
      <c r="C120" s="5">
        <v>0</v>
      </c>
      <c r="D120" s="5">
        <v>1</v>
      </c>
      <c r="E120" s="5">
        <v>225</v>
      </c>
      <c r="F120" s="5">
        <f>ROUND(Source!AV115,O120)</f>
        <v>40285.18</v>
      </c>
      <c r="G120" s="5" t="s">
        <v>44</v>
      </c>
      <c r="H120" s="5" t="s">
        <v>45</v>
      </c>
      <c r="I120" s="5"/>
      <c r="J120" s="5"/>
      <c r="K120" s="5">
        <v>225</v>
      </c>
      <c r="L120" s="5">
        <v>4</v>
      </c>
      <c r="M120" s="5">
        <v>3</v>
      </c>
      <c r="N120" s="5" t="s">
        <v>3</v>
      </c>
      <c r="O120" s="5">
        <v>2</v>
      </c>
      <c r="P120" s="5">
        <f>ROUND(Source!EN115,O120)</f>
        <v>310125.26</v>
      </c>
      <c r="Q120" s="5"/>
      <c r="R120" s="5"/>
      <c r="S120" s="5"/>
      <c r="T120" s="5"/>
      <c r="U120" s="5"/>
      <c r="V120" s="5"/>
      <c r="W120" s="5"/>
    </row>
    <row r="121" spans="1:245" x14ac:dyDescent="0.2">
      <c r="A121" s="70">
        <v>50</v>
      </c>
      <c r="B121" s="5">
        <v>0</v>
      </c>
      <c r="C121" s="5">
        <v>0</v>
      </c>
      <c r="D121" s="5">
        <v>1</v>
      </c>
      <c r="E121" s="5">
        <v>226</v>
      </c>
      <c r="F121" s="5">
        <f>ROUND(Source!AW115,O121)</f>
        <v>40285.18</v>
      </c>
      <c r="G121" s="5" t="s">
        <v>46</v>
      </c>
      <c r="H121" s="5" t="s">
        <v>47</v>
      </c>
      <c r="I121" s="5"/>
      <c r="J121" s="5"/>
      <c r="K121" s="5">
        <v>226</v>
      </c>
      <c r="L121" s="5">
        <v>5</v>
      </c>
      <c r="M121" s="5">
        <v>3</v>
      </c>
      <c r="N121" s="5" t="s">
        <v>3</v>
      </c>
      <c r="O121" s="5">
        <v>2</v>
      </c>
      <c r="P121" s="5">
        <f>ROUND(Source!EO115,O121)</f>
        <v>310125.26</v>
      </c>
      <c r="Q121" s="5"/>
      <c r="R121" s="5"/>
      <c r="S121" s="5"/>
      <c r="T121" s="5"/>
      <c r="U121" s="5"/>
      <c r="V121" s="5"/>
      <c r="W121" s="5"/>
    </row>
    <row r="122" spans="1:245" x14ac:dyDescent="0.2">
      <c r="A122" s="70">
        <v>50</v>
      </c>
      <c r="B122" s="5">
        <v>0</v>
      </c>
      <c r="C122" s="5">
        <v>0</v>
      </c>
      <c r="D122" s="5">
        <v>1</v>
      </c>
      <c r="E122" s="5">
        <v>227</v>
      </c>
      <c r="F122" s="5">
        <f>ROUND(Source!AX115,O122)</f>
        <v>0</v>
      </c>
      <c r="G122" s="5" t="s">
        <v>48</v>
      </c>
      <c r="H122" s="5" t="s">
        <v>49</v>
      </c>
      <c r="I122" s="5"/>
      <c r="J122" s="5"/>
      <c r="K122" s="5">
        <v>227</v>
      </c>
      <c r="L122" s="5">
        <v>6</v>
      </c>
      <c r="M122" s="5">
        <v>3</v>
      </c>
      <c r="N122" s="5" t="s">
        <v>3</v>
      </c>
      <c r="O122" s="5">
        <v>2</v>
      </c>
      <c r="P122" s="5">
        <f>ROUND(Source!EP115,O122)</f>
        <v>0</v>
      </c>
      <c r="Q122" s="5"/>
      <c r="R122" s="5"/>
      <c r="S122" s="5"/>
      <c r="T122" s="5"/>
      <c r="U122" s="5"/>
      <c r="V122" s="5"/>
      <c r="W122" s="5"/>
    </row>
    <row r="123" spans="1:245" x14ac:dyDescent="0.2">
      <c r="A123" s="70">
        <v>50</v>
      </c>
      <c r="B123" s="5">
        <v>0</v>
      </c>
      <c r="C123" s="5">
        <v>0</v>
      </c>
      <c r="D123" s="5">
        <v>1</v>
      </c>
      <c r="E123" s="5">
        <v>228</v>
      </c>
      <c r="F123" s="5">
        <f>ROUND(Source!AY115,O123)</f>
        <v>40285.18</v>
      </c>
      <c r="G123" s="5" t="s">
        <v>50</v>
      </c>
      <c r="H123" s="5" t="s">
        <v>51</v>
      </c>
      <c r="I123" s="5"/>
      <c r="J123" s="5"/>
      <c r="K123" s="5">
        <v>228</v>
      </c>
      <c r="L123" s="5">
        <v>7</v>
      </c>
      <c r="M123" s="5">
        <v>3</v>
      </c>
      <c r="N123" s="5" t="s">
        <v>3</v>
      </c>
      <c r="O123" s="5">
        <v>2</v>
      </c>
      <c r="P123" s="5">
        <f>ROUND(Source!EQ115,O123)</f>
        <v>310125.26</v>
      </c>
      <c r="Q123" s="5"/>
      <c r="R123" s="5"/>
      <c r="S123" s="5"/>
      <c r="T123" s="5"/>
      <c r="U123" s="5"/>
      <c r="V123" s="5"/>
      <c r="W123" s="5"/>
    </row>
    <row r="124" spans="1:245" x14ac:dyDescent="0.2">
      <c r="A124" s="70">
        <v>50</v>
      </c>
      <c r="B124" s="5">
        <v>0</v>
      </c>
      <c r="C124" s="5">
        <v>0</v>
      </c>
      <c r="D124" s="5">
        <v>1</v>
      </c>
      <c r="E124" s="5">
        <v>216</v>
      </c>
      <c r="F124" s="5">
        <f>ROUND(Source!AP115,O124)</f>
        <v>0</v>
      </c>
      <c r="G124" s="5" t="s">
        <v>52</v>
      </c>
      <c r="H124" s="5" t="s">
        <v>53</v>
      </c>
      <c r="I124" s="5"/>
      <c r="J124" s="5"/>
      <c r="K124" s="5">
        <v>216</v>
      </c>
      <c r="L124" s="5">
        <v>8</v>
      </c>
      <c r="M124" s="5">
        <v>3</v>
      </c>
      <c r="N124" s="5" t="s">
        <v>3</v>
      </c>
      <c r="O124" s="5">
        <v>2</v>
      </c>
      <c r="P124" s="5">
        <f>ROUND(Source!EH115,O124)</f>
        <v>0</v>
      </c>
      <c r="Q124" s="5"/>
      <c r="R124" s="5"/>
      <c r="S124" s="5"/>
      <c r="T124" s="5"/>
      <c r="U124" s="5"/>
      <c r="V124" s="5"/>
      <c r="W124" s="5"/>
    </row>
    <row r="125" spans="1:245" x14ac:dyDescent="0.2">
      <c r="A125" s="70">
        <v>50</v>
      </c>
      <c r="B125" s="5">
        <v>0</v>
      </c>
      <c r="C125" s="5">
        <v>0</v>
      </c>
      <c r="D125" s="5">
        <v>1</v>
      </c>
      <c r="E125" s="5">
        <v>223</v>
      </c>
      <c r="F125" s="5">
        <f>ROUND(Source!AQ115,O125)</f>
        <v>0</v>
      </c>
      <c r="G125" s="5" t="s">
        <v>54</v>
      </c>
      <c r="H125" s="5" t="s">
        <v>55</v>
      </c>
      <c r="I125" s="5"/>
      <c r="J125" s="5"/>
      <c r="K125" s="5">
        <v>223</v>
      </c>
      <c r="L125" s="5">
        <v>9</v>
      </c>
      <c r="M125" s="5">
        <v>3</v>
      </c>
      <c r="N125" s="5" t="s">
        <v>3</v>
      </c>
      <c r="O125" s="5">
        <v>2</v>
      </c>
      <c r="P125" s="5">
        <f>ROUND(Source!EI115,O125)</f>
        <v>0</v>
      </c>
      <c r="Q125" s="5"/>
      <c r="R125" s="5"/>
      <c r="S125" s="5"/>
      <c r="T125" s="5"/>
      <c r="U125" s="5"/>
      <c r="V125" s="5"/>
      <c r="W125" s="5"/>
    </row>
    <row r="126" spans="1:245" x14ac:dyDescent="0.2">
      <c r="A126" s="70">
        <v>50</v>
      </c>
      <c r="B126" s="5">
        <v>0</v>
      </c>
      <c r="C126" s="5">
        <v>0</v>
      </c>
      <c r="D126" s="5">
        <v>1</v>
      </c>
      <c r="E126" s="5">
        <v>229</v>
      </c>
      <c r="F126" s="5">
        <f>ROUND(Source!AZ115,O126)</f>
        <v>0</v>
      </c>
      <c r="G126" s="5" t="s">
        <v>56</v>
      </c>
      <c r="H126" s="5" t="s">
        <v>57</v>
      </c>
      <c r="I126" s="5"/>
      <c r="J126" s="5"/>
      <c r="K126" s="5">
        <v>229</v>
      </c>
      <c r="L126" s="5">
        <v>10</v>
      </c>
      <c r="M126" s="5">
        <v>3</v>
      </c>
      <c r="N126" s="5" t="s">
        <v>3</v>
      </c>
      <c r="O126" s="5">
        <v>2</v>
      </c>
      <c r="P126" s="5">
        <f>ROUND(Source!ER115,O126)</f>
        <v>0</v>
      </c>
      <c r="Q126" s="5"/>
      <c r="R126" s="5"/>
      <c r="S126" s="5"/>
      <c r="T126" s="5"/>
      <c r="U126" s="5"/>
      <c r="V126" s="5"/>
      <c r="W126" s="5"/>
    </row>
    <row r="127" spans="1:245" x14ac:dyDescent="0.2">
      <c r="A127" s="70">
        <v>50</v>
      </c>
      <c r="B127" s="5">
        <v>0</v>
      </c>
      <c r="C127" s="5">
        <v>0</v>
      </c>
      <c r="D127" s="5">
        <v>1</v>
      </c>
      <c r="E127" s="5">
        <v>203</v>
      </c>
      <c r="F127" s="5">
        <f>ROUND(Source!Q115,O127)</f>
        <v>0</v>
      </c>
      <c r="G127" s="5" t="s">
        <v>58</v>
      </c>
      <c r="H127" s="5" t="s">
        <v>59</v>
      </c>
      <c r="I127" s="5"/>
      <c r="J127" s="5"/>
      <c r="K127" s="5">
        <v>203</v>
      </c>
      <c r="L127" s="5">
        <v>11</v>
      </c>
      <c r="M127" s="5">
        <v>3</v>
      </c>
      <c r="N127" s="5" t="s">
        <v>3</v>
      </c>
      <c r="O127" s="5">
        <v>2</v>
      </c>
      <c r="P127" s="5">
        <f>ROUND(Source!DI115,O127)</f>
        <v>0</v>
      </c>
      <c r="Q127" s="5"/>
      <c r="R127" s="5"/>
      <c r="S127" s="5"/>
      <c r="T127" s="5"/>
      <c r="U127" s="5"/>
      <c r="V127" s="5"/>
      <c r="W127" s="5"/>
    </row>
    <row r="128" spans="1:245" x14ac:dyDescent="0.2">
      <c r="A128" s="70">
        <v>50</v>
      </c>
      <c r="B128" s="5">
        <v>0</v>
      </c>
      <c r="C128" s="5">
        <v>0</v>
      </c>
      <c r="D128" s="5">
        <v>1</v>
      </c>
      <c r="E128" s="5">
        <v>231</v>
      </c>
      <c r="F128" s="5">
        <f>ROUND(Source!BB115,O128)</f>
        <v>0</v>
      </c>
      <c r="G128" s="5" t="s">
        <v>60</v>
      </c>
      <c r="H128" s="5" t="s">
        <v>61</v>
      </c>
      <c r="I128" s="5"/>
      <c r="J128" s="5"/>
      <c r="K128" s="5">
        <v>231</v>
      </c>
      <c r="L128" s="5">
        <v>12</v>
      </c>
      <c r="M128" s="5">
        <v>3</v>
      </c>
      <c r="N128" s="5" t="s">
        <v>3</v>
      </c>
      <c r="O128" s="5">
        <v>2</v>
      </c>
      <c r="P128" s="5">
        <f>ROUND(Source!ET115,O128)</f>
        <v>0</v>
      </c>
      <c r="Q128" s="5"/>
      <c r="R128" s="5"/>
      <c r="S128" s="5"/>
      <c r="T128" s="5"/>
      <c r="U128" s="5"/>
      <c r="V128" s="5"/>
      <c r="W128" s="5"/>
    </row>
    <row r="129" spans="1:206" x14ac:dyDescent="0.2">
      <c r="A129" s="70">
        <v>50</v>
      </c>
      <c r="B129" s="5">
        <v>0</v>
      </c>
      <c r="C129" s="5">
        <v>0</v>
      </c>
      <c r="D129" s="5">
        <v>1</v>
      </c>
      <c r="E129" s="5">
        <v>204</v>
      </c>
      <c r="F129" s="5">
        <f>ROUND(Source!R115,O129)</f>
        <v>0</v>
      </c>
      <c r="G129" s="5" t="s">
        <v>62</v>
      </c>
      <c r="H129" s="5" t="s">
        <v>63</v>
      </c>
      <c r="I129" s="5"/>
      <c r="J129" s="5"/>
      <c r="K129" s="5">
        <v>204</v>
      </c>
      <c r="L129" s="5">
        <v>13</v>
      </c>
      <c r="M129" s="5">
        <v>3</v>
      </c>
      <c r="N129" s="5" t="s">
        <v>3</v>
      </c>
      <c r="O129" s="5">
        <v>2</v>
      </c>
      <c r="P129" s="5">
        <f>ROUND(Source!DJ115,O129)</f>
        <v>0</v>
      </c>
      <c r="Q129" s="5"/>
      <c r="R129" s="5"/>
      <c r="S129" s="5"/>
      <c r="T129" s="5"/>
      <c r="U129" s="5"/>
      <c r="V129" s="5"/>
      <c r="W129" s="5"/>
    </row>
    <row r="130" spans="1:206" x14ac:dyDescent="0.2">
      <c r="A130" s="70">
        <v>50</v>
      </c>
      <c r="B130" s="5">
        <v>0</v>
      </c>
      <c r="C130" s="5">
        <v>0</v>
      </c>
      <c r="D130" s="5">
        <v>1</v>
      </c>
      <c r="E130" s="5">
        <v>205</v>
      </c>
      <c r="F130" s="5">
        <f>ROUND(Source!S115,O130)</f>
        <v>1537.58</v>
      </c>
      <c r="G130" s="5" t="s">
        <v>64</v>
      </c>
      <c r="H130" s="5" t="s">
        <v>65</v>
      </c>
      <c r="I130" s="5"/>
      <c r="J130" s="5"/>
      <c r="K130" s="5">
        <v>205</v>
      </c>
      <c r="L130" s="5">
        <v>14</v>
      </c>
      <c r="M130" s="5">
        <v>3</v>
      </c>
      <c r="N130" s="5" t="s">
        <v>3</v>
      </c>
      <c r="O130" s="5">
        <v>2</v>
      </c>
      <c r="P130" s="5">
        <f>ROUND(Source!DK115,O130)</f>
        <v>46496.27</v>
      </c>
      <c r="Q130" s="5"/>
      <c r="R130" s="5"/>
      <c r="S130" s="5"/>
      <c r="T130" s="5"/>
      <c r="U130" s="5"/>
      <c r="V130" s="5"/>
      <c r="W130" s="5"/>
    </row>
    <row r="131" spans="1:206" x14ac:dyDescent="0.2">
      <c r="A131" s="70">
        <v>50</v>
      </c>
      <c r="B131" s="5">
        <v>0</v>
      </c>
      <c r="C131" s="5">
        <v>0</v>
      </c>
      <c r="D131" s="5">
        <v>1</v>
      </c>
      <c r="E131" s="5">
        <v>232</v>
      </c>
      <c r="F131" s="5">
        <f>ROUND(Source!BC115,O131)</f>
        <v>0</v>
      </c>
      <c r="G131" s="5" t="s">
        <v>66</v>
      </c>
      <c r="H131" s="5" t="s">
        <v>67</v>
      </c>
      <c r="I131" s="5"/>
      <c r="J131" s="5"/>
      <c r="K131" s="5">
        <v>232</v>
      </c>
      <c r="L131" s="5">
        <v>15</v>
      </c>
      <c r="M131" s="5">
        <v>3</v>
      </c>
      <c r="N131" s="5" t="s">
        <v>3</v>
      </c>
      <c r="O131" s="5">
        <v>2</v>
      </c>
      <c r="P131" s="5">
        <f>ROUND(Source!EU115,O131)</f>
        <v>0</v>
      </c>
      <c r="Q131" s="5"/>
      <c r="R131" s="5"/>
      <c r="S131" s="5"/>
      <c r="T131" s="5"/>
      <c r="U131" s="5"/>
      <c r="V131" s="5"/>
      <c r="W131" s="5"/>
    </row>
    <row r="132" spans="1:206" x14ac:dyDescent="0.2">
      <c r="A132" s="70">
        <v>50</v>
      </c>
      <c r="B132" s="5">
        <v>0</v>
      </c>
      <c r="C132" s="5">
        <v>0</v>
      </c>
      <c r="D132" s="5">
        <v>1</v>
      </c>
      <c r="E132" s="5">
        <v>214</v>
      </c>
      <c r="F132" s="5">
        <f>ROUND(Source!AS115,O132)</f>
        <v>10633.31</v>
      </c>
      <c r="G132" s="5" t="s">
        <v>68</v>
      </c>
      <c r="H132" s="5" t="s">
        <v>69</v>
      </c>
      <c r="I132" s="5"/>
      <c r="J132" s="5"/>
      <c r="K132" s="5">
        <v>214</v>
      </c>
      <c r="L132" s="5">
        <v>16</v>
      </c>
      <c r="M132" s="5">
        <v>3</v>
      </c>
      <c r="N132" s="5" t="s">
        <v>3</v>
      </c>
      <c r="O132" s="5">
        <v>2</v>
      </c>
      <c r="P132" s="5">
        <f>ROUND(Source!EK115,O132)</f>
        <v>185549.78</v>
      </c>
      <c r="Q132" s="5"/>
      <c r="R132" s="5"/>
      <c r="S132" s="5"/>
      <c r="T132" s="5"/>
      <c r="U132" s="5"/>
      <c r="V132" s="5"/>
      <c r="W132" s="5"/>
    </row>
    <row r="133" spans="1:206" x14ac:dyDescent="0.2">
      <c r="A133" s="70">
        <v>50</v>
      </c>
      <c r="B133" s="5">
        <v>0</v>
      </c>
      <c r="C133" s="5">
        <v>0</v>
      </c>
      <c r="D133" s="5">
        <v>1</v>
      </c>
      <c r="E133" s="5">
        <v>215</v>
      </c>
      <c r="F133" s="5">
        <f>ROUND(Source!AT115,O133)</f>
        <v>0</v>
      </c>
      <c r="G133" s="5" t="s">
        <v>70</v>
      </c>
      <c r="H133" s="5" t="s">
        <v>71</v>
      </c>
      <c r="I133" s="5"/>
      <c r="J133" s="5"/>
      <c r="K133" s="5">
        <v>215</v>
      </c>
      <c r="L133" s="5">
        <v>17</v>
      </c>
      <c r="M133" s="5">
        <v>3</v>
      </c>
      <c r="N133" s="5" t="s">
        <v>3</v>
      </c>
      <c r="O133" s="5">
        <v>2</v>
      </c>
      <c r="P133" s="5">
        <f>ROUND(Source!EL115,O133)</f>
        <v>0</v>
      </c>
      <c r="Q133" s="5"/>
      <c r="R133" s="5"/>
      <c r="S133" s="5"/>
      <c r="T133" s="5"/>
      <c r="U133" s="5"/>
      <c r="V133" s="5"/>
      <c r="W133" s="5"/>
    </row>
    <row r="134" spans="1:206" x14ac:dyDescent="0.2">
      <c r="A134" s="70">
        <v>50</v>
      </c>
      <c r="B134" s="5">
        <v>0</v>
      </c>
      <c r="C134" s="5">
        <v>0</v>
      </c>
      <c r="D134" s="5">
        <v>1</v>
      </c>
      <c r="E134" s="5">
        <v>217</v>
      </c>
      <c r="F134" s="5">
        <f>ROUND(Source!AU115,O134)</f>
        <v>36882.18</v>
      </c>
      <c r="G134" s="5" t="s">
        <v>72</v>
      </c>
      <c r="H134" s="5" t="s">
        <v>73</v>
      </c>
      <c r="I134" s="5"/>
      <c r="J134" s="5"/>
      <c r="K134" s="5">
        <v>217</v>
      </c>
      <c r="L134" s="5">
        <v>18</v>
      </c>
      <c r="M134" s="5">
        <v>3</v>
      </c>
      <c r="N134" s="5" t="s">
        <v>3</v>
      </c>
      <c r="O134" s="5">
        <v>2</v>
      </c>
      <c r="P134" s="5">
        <f>ROUND(Source!EM115,O134)</f>
        <v>291000.40000000002</v>
      </c>
      <c r="Q134" s="5"/>
      <c r="R134" s="5"/>
      <c r="S134" s="5"/>
      <c r="T134" s="5"/>
      <c r="U134" s="5"/>
      <c r="V134" s="5"/>
      <c r="W134" s="5"/>
    </row>
    <row r="135" spans="1:206" x14ac:dyDescent="0.2">
      <c r="A135" s="70">
        <v>50</v>
      </c>
      <c r="B135" s="5">
        <v>0</v>
      </c>
      <c r="C135" s="5">
        <v>0</v>
      </c>
      <c r="D135" s="5">
        <v>1</v>
      </c>
      <c r="E135" s="5">
        <v>230</v>
      </c>
      <c r="F135" s="5">
        <f>ROUND(Source!BA115,O135)</f>
        <v>0</v>
      </c>
      <c r="G135" s="5" t="s">
        <v>74</v>
      </c>
      <c r="H135" s="5" t="s">
        <v>75</v>
      </c>
      <c r="I135" s="5"/>
      <c r="J135" s="5"/>
      <c r="K135" s="5">
        <v>230</v>
      </c>
      <c r="L135" s="5">
        <v>19</v>
      </c>
      <c r="M135" s="5">
        <v>3</v>
      </c>
      <c r="N135" s="5" t="s">
        <v>3</v>
      </c>
      <c r="O135" s="5">
        <v>2</v>
      </c>
      <c r="P135" s="5">
        <f>ROUND(Source!ES115,O135)</f>
        <v>0</v>
      </c>
      <c r="Q135" s="5"/>
      <c r="R135" s="5"/>
      <c r="S135" s="5"/>
      <c r="T135" s="5"/>
      <c r="U135" s="5"/>
      <c r="V135" s="5"/>
      <c r="W135" s="5"/>
    </row>
    <row r="136" spans="1:206" x14ac:dyDescent="0.2">
      <c r="A136" s="70">
        <v>50</v>
      </c>
      <c r="B136" s="5">
        <v>0</v>
      </c>
      <c r="C136" s="5">
        <v>0</v>
      </c>
      <c r="D136" s="5">
        <v>1</v>
      </c>
      <c r="E136" s="5">
        <v>206</v>
      </c>
      <c r="F136" s="5">
        <f>ROUND(Source!T115,O136)</f>
        <v>0</v>
      </c>
      <c r="G136" s="5" t="s">
        <v>76</v>
      </c>
      <c r="H136" s="5" t="s">
        <v>77</v>
      </c>
      <c r="I136" s="5"/>
      <c r="J136" s="5"/>
      <c r="K136" s="5">
        <v>206</v>
      </c>
      <c r="L136" s="5">
        <v>20</v>
      </c>
      <c r="M136" s="5">
        <v>3</v>
      </c>
      <c r="N136" s="5" t="s">
        <v>3</v>
      </c>
      <c r="O136" s="5">
        <v>2</v>
      </c>
      <c r="P136" s="5">
        <f>ROUND(Source!DL115,O136)</f>
        <v>0</v>
      </c>
      <c r="Q136" s="5"/>
      <c r="R136" s="5"/>
      <c r="S136" s="5"/>
      <c r="T136" s="5"/>
      <c r="U136" s="5"/>
      <c r="V136" s="5"/>
      <c r="W136" s="5"/>
    </row>
    <row r="137" spans="1:206" x14ac:dyDescent="0.2">
      <c r="A137" s="70">
        <v>50</v>
      </c>
      <c r="B137" s="5">
        <v>0</v>
      </c>
      <c r="C137" s="5">
        <v>0</v>
      </c>
      <c r="D137" s="5">
        <v>1</v>
      </c>
      <c r="E137" s="5">
        <v>207</v>
      </c>
      <c r="F137" s="5">
        <f>Source!U115</f>
        <v>213.72499999999999</v>
      </c>
      <c r="G137" s="5" t="s">
        <v>78</v>
      </c>
      <c r="H137" s="5" t="s">
        <v>79</v>
      </c>
      <c r="I137" s="5"/>
      <c r="J137" s="5"/>
      <c r="K137" s="5">
        <v>207</v>
      </c>
      <c r="L137" s="5">
        <v>21</v>
      </c>
      <c r="M137" s="5">
        <v>3</v>
      </c>
      <c r="N137" s="5" t="s">
        <v>3</v>
      </c>
      <c r="O137" s="5">
        <v>-1</v>
      </c>
      <c r="P137" s="5">
        <f>Source!DM115</f>
        <v>213.72499999999999</v>
      </c>
      <c r="Q137" s="5"/>
      <c r="R137" s="5"/>
      <c r="S137" s="5"/>
      <c r="T137" s="5"/>
      <c r="U137" s="5"/>
      <c r="V137" s="5"/>
      <c r="W137" s="5"/>
    </row>
    <row r="138" spans="1:206" x14ac:dyDescent="0.2">
      <c r="A138" s="70">
        <v>50</v>
      </c>
      <c r="B138" s="5">
        <v>0</v>
      </c>
      <c r="C138" s="5">
        <v>0</v>
      </c>
      <c r="D138" s="5">
        <v>1</v>
      </c>
      <c r="E138" s="5">
        <v>208</v>
      </c>
      <c r="F138" s="5">
        <f>Source!V115</f>
        <v>0</v>
      </c>
      <c r="G138" s="5" t="s">
        <v>80</v>
      </c>
      <c r="H138" s="5" t="s">
        <v>81</v>
      </c>
      <c r="I138" s="5"/>
      <c r="J138" s="5"/>
      <c r="K138" s="5">
        <v>208</v>
      </c>
      <c r="L138" s="5">
        <v>22</v>
      </c>
      <c r="M138" s="5">
        <v>3</v>
      </c>
      <c r="N138" s="5" t="s">
        <v>3</v>
      </c>
      <c r="O138" s="5">
        <v>-1</v>
      </c>
      <c r="P138" s="5">
        <f>Source!DN115</f>
        <v>0</v>
      </c>
      <c r="Q138" s="5"/>
      <c r="R138" s="5"/>
      <c r="S138" s="5"/>
      <c r="T138" s="5"/>
      <c r="U138" s="5"/>
      <c r="V138" s="5"/>
      <c r="W138" s="5"/>
    </row>
    <row r="139" spans="1:206" x14ac:dyDescent="0.2">
      <c r="A139" s="70">
        <v>50</v>
      </c>
      <c r="B139" s="5">
        <v>0</v>
      </c>
      <c r="C139" s="5">
        <v>0</v>
      </c>
      <c r="D139" s="5">
        <v>1</v>
      </c>
      <c r="E139" s="5">
        <v>209</v>
      </c>
      <c r="F139" s="5">
        <f>ROUND(Source!W115,O139)</f>
        <v>0</v>
      </c>
      <c r="G139" s="5" t="s">
        <v>82</v>
      </c>
      <c r="H139" s="5" t="s">
        <v>83</v>
      </c>
      <c r="I139" s="5"/>
      <c r="J139" s="5"/>
      <c r="K139" s="5">
        <v>209</v>
      </c>
      <c r="L139" s="5">
        <v>23</v>
      </c>
      <c r="M139" s="5">
        <v>3</v>
      </c>
      <c r="N139" s="5" t="s">
        <v>3</v>
      </c>
      <c r="O139" s="5">
        <v>2</v>
      </c>
      <c r="P139" s="5">
        <f>ROUND(Source!DO115,O139)</f>
        <v>0</v>
      </c>
      <c r="Q139" s="5"/>
      <c r="R139" s="5"/>
      <c r="S139" s="5"/>
      <c r="T139" s="5"/>
      <c r="U139" s="5"/>
      <c r="V139" s="5"/>
      <c r="W139" s="5"/>
    </row>
    <row r="140" spans="1:206" x14ac:dyDescent="0.2">
      <c r="A140" s="70">
        <v>50</v>
      </c>
      <c r="B140" s="5">
        <v>0</v>
      </c>
      <c r="C140" s="5">
        <v>0</v>
      </c>
      <c r="D140" s="5">
        <v>1</v>
      </c>
      <c r="E140" s="5">
        <v>210</v>
      </c>
      <c r="F140" s="5">
        <f>ROUND(Source!X115,O140)</f>
        <v>1199.31</v>
      </c>
      <c r="G140" s="5" t="s">
        <v>84</v>
      </c>
      <c r="H140" s="5" t="s">
        <v>85</v>
      </c>
      <c r="I140" s="5"/>
      <c r="J140" s="5"/>
      <c r="K140" s="5">
        <v>210</v>
      </c>
      <c r="L140" s="5">
        <v>24</v>
      </c>
      <c r="M140" s="5">
        <v>3</v>
      </c>
      <c r="N140" s="5" t="s">
        <v>3</v>
      </c>
      <c r="O140" s="5">
        <v>2</v>
      </c>
      <c r="P140" s="5">
        <f>ROUND(Source!DP115,O140)</f>
        <v>36267.089999999997</v>
      </c>
      <c r="Q140" s="5"/>
      <c r="R140" s="5"/>
      <c r="S140" s="5"/>
      <c r="T140" s="5"/>
      <c r="U140" s="5"/>
      <c r="V140" s="5"/>
      <c r="W140" s="5"/>
    </row>
    <row r="141" spans="1:206" x14ac:dyDescent="0.2">
      <c r="A141" s="70">
        <v>50</v>
      </c>
      <c r="B141" s="5">
        <v>0</v>
      </c>
      <c r="C141" s="5">
        <v>0</v>
      </c>
      <c r="D141" s="5">
        <v>1</v>
      </c>
      <c r="E141" s="5">
        <v>211</v>
      </c>
      <c r="F141" s="5">
        <f>ROUND(Source!Y115,O141)</f>
        <v>768.79</v>
      </c>
      <c r="G141" s="5" t="s">
        <v>86</v>
      </c>
      <c r="H141" s="5" t="s">
        <v>87</v>
      </c>
      <c r="I141" s="5"/>
      <c r="J141" s="5"/>
      <c r="K141" s="5">
        <v>211</v>
      </c>
      <c r="L141" s="5">
        <v>25</v>
      </c>
      <c r="M141" s="5">
        <v>3</v>
      </c>
      <c r="N141" s="5" t="s">
        <v>3</v>
      </c>
      <c r="O141" s="5">
        <v>2</v>
      </c>
      <c r="P141" s="5">
        <f>ROUND(Source!DQ115,O141)</f>
        <v>23248.14</v>
      </c>
      <c r="Q141" s="5"/>
      <c r="R141" s="5"/>
      <c r="S141" s="5"/>
      <c r="T141" s="5"/>
      <c r="U141" s="5"/>
      <c r="V141" s="5"/>
      <c r="W141" s="5"/>
    </row>
    <row r="142" spans="1:206" x14ac:dyDescent="0.2">
      <c r="A142" s="70">
        <v>50</v>
      </c>
      <c r="B142" s="5">
        <v>0</v>
      </c>
      <c r="C142" s="5">
        <v>0</v>
      </c>
      <c r="D142" s="5">
        <v>1</v>
      </c>
      <c r="E142" s="5">
        <v>224</v>
      </c>
      <c r="F142" s="5">
        <f>ROUND(Source!AR115,O142)</f>
        <v>47515.49</v>
      </c>
      <c r="G142" s="5" t="s">
        <v>88</v>
      </c>
      <c r="H142" s="5" t="s">
        <v>89</v>
      </c>
      <c r="I142" s="5"/>
      <c r="J142" s="5"/>
      <c r="K142" s="5">
        <v>224</v>
      </c>
      <c r="L142" s="5">
        <v>26</v>
      </c>
      <c r="M142" s="5">
        <v>3</v>
      </c>
      <c r="N142" s="5" t="s">
        <v>3</v>
      </c>
      <c r="O142" s="5">
        <v>2</v>
      </c>
      <c r="P142" s="5">
        <f>ROUND(Source!EJ115,O142)</f>
        <v>476550.18</v>
      </c>
      <c r="Q142" s="5"/>
      <c r="R142" s="5"/>
      <c r="S142" s="5"/>
      <c r="T142" s="5"/>
      <c r="U142" s="5"/>
      <c r="V142" s="5"/>
      <c r="W142" s="5"/>
    </row>
    <row r="144" spans="1:206" x14ac:dyDescent="0.2">
      <c r="A144" s="68">
        <v>51</v>
      </c>
      <c r="B144" s="3">
        <f>B20</f>
        <v>1</v>
      </c>
      <c r="C144" s="3">
        <f>A20</f>
        <v>3</v>
      </c>
      <c r="D144" s="3">
        <f>ROW(A20)</f>
        <v>20</v>
      </c>
      <c r="E144" s="3"/>
      <c r="F144" s="3" t="str">
        <f>IF(F20&lt;&gt;"",F20,"")</f>
        <v>А-01/Ф</v>
      </c>
      <c r="G144" s="3" t="str">
        <f>IF(G20&lt;&gt;"",G20,"")</f>
        <v>Новая локальная смета</v>
      </c>
      <c r="H144" s="3">
        <v>0</v>
      </c>
      <c r="I144" s="3"/>
      <c r="J144" s="3"/>
      <c r="K144" s="3"/>
      <c r="L144" s="3"/>
      <c r="M144" s="3"/>
      <c r="N144" s="3"/>
      <c r="O144" s="3">
        <f t="shared" ref="O144:T144" si="109">ROUND(O35+O75+O115+AB144,2)</f>
        <v>56093.43</v>
      </c>
      <c r="P144" s="3">
        <f t="shared" si="109"/>
        <v>40285.18</v>
      </c>
      <c r="Q144" s="3">
        <f t="shared" si="109"/>
        <v>196.49</v>
      </c>
      <c r="R144" s="3">
        <f t="shared" si="109"/>
        <v>44.68</v>
      </c>
      <c r="S144" s="3">
        <f t="shared" si="109"/>
        <v>15611.76</v>
      </c>
      <c r="T144" s="3">
        <f t="shared" si="109"/>
        <v>0</v>
      </c>
      <c r="U144" s="3">
        <f>U35+U75+U115+AH144</f>
        <v>1940.9490221599999</v>
      </c>
      <c r="V144" s="3">
        <f>V35+V75+V115+AI144</f>
        <v>3.6644747999999998</v>
      </c>
      <c r="W144" s="3">
        <f>ROUND(W35+W75+W115+AJ144,2)</f>
        <v>0</v>
      </c>
      <c r="X144" s="3">
        <f>ROUND(X35+X75+X115+AK144,2)</f>
        <v>16527.740000000002</v>
      </c>
      <c r="Y144" s="3">
        <f>ROUND(Y35+Y75+Y115+AL144,2)</f>
        <v>10045.049999999999</v>
      </c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>
        <f t="shared" ref="AO144:BC144" si="110">ROUND(AO35+AO75+AO115+BX144,2)</f>
        <v>0</v>
      </c>
      <c r="AP144" s="3">
        <f t="shared" si="110"/>
        <v>0</v>
      </c>
      <c r="AQ144" s="3">
        <f t="shared" si="110"/>
        <v>0</v>
      </c>
      <c r="AR144" s="3">
        <f t="shared" si="110"/>
        <v>86390.85</v>
      </c>
      <c r="AS144" s="3">
        <f t="shared" si="110"/>
        <v>49508.67</v>
      </c>
      <c r="AT144" s="3">
        <f t="shared" si="110"/>
        <v>0</v>
      </c>
      <c r="AU144" s="3">
        <f t="shared" si="110"/>
        <v>36882.18</v>
      </c>
      <c r="AV144" s="3">
        <f t="shared" si="110"/>
        <v>40285.18</v>
      </c>
      <c r="AW144" s="3">
        <f t="shared" si="110"/>
        <v>40285.18</v>
      </c>
      <c r="AX144" s="3">
        <f t="shared" si="110"/>
        <v>0</v>
      </c>
      <c r="AY144" s="3">
        <f t="shared" si="110"/>
        <v>40285.18</v>
      </c>
      <c r="AZ144" s="3">
        <f t="shared" si="110"/>
        <v>0</v>
      </c>
      <c r="BA144" s="3">
        <f t="shared" si="110"/>
        <v>0</v>
      </c>
      <c r="BB144" s="3">
        <f t="shared" si="110"/>
        <v>0</v>
      </c>
      <c r="BC144" s="3">
        <f t="shared" si="110"/>
        <v>0</v>
      </c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4">
        <f t="shared" ref="DG144:DL144" si="111">ROUND(DG35+DG75+DG115+DT144,2)</f>
        <v>784069.6</v>
      </c>
      <c r="DH144" s="4">
        <f t="shared" si="111"/>
        <v>310125.26</v>
      </c>
      <c r="DI144" s="4">
        <f t="shared" si="111"/>
        <v>1845</v>
      </c>
      <c r="DJ144" s="4">
        <f t="shared" si="111"/>
        <v>1350.87</v>
      </c>
      <c r="DK144" s="4">
        <f t="shared" si="111"/>
        <v>472099.34</v>
      </c>
      <c r="DL144" s="4">
        <f t="shared" si="111"/>
        <v>0</v>
      </c>
      <c r="DM144" s="4">
        <f>DM35+DM75+DM115+DZ144</f>
        <v>1940.9490221599999</v>
      </c>
      <c r="DN144" s="4">
        <f>DN35+DN75+DN115+EA144</f>
        <v>3.6644747999999998</v>
      </c>
      <c r="DO144" s="4">
        <f>ROUND(DO35+DO75+DO115+EB144,2)</f>
        <v>0</v>
      </c>
      <c r="DP144" s="4">
        <f>ROUND(DP35+DP75+DP115+EC144,2)</f>
        <v>499798.45</v>
      </c>
      <c r="DQ144" s="4">
        <f>ROUND(DQ35+DQ75+DQ115+ED144,2)</f>
        <v>303761.99</v>
      </c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>
        <f t="shared" ref="EG144:EU144" si="112">ROUND(EG35+EG75+EG115+FP144,2)</f>
        <v>0</v>
      </c>
      <c r="EH144" s="4">
        <f t="shared" si="112"/>
        <v>0</v>
      </c>
      <c r="EI144" s="4">
        <f t="shared" si="112"/>
        <v>0</v>
      </c>
      <c r="EJ144" s="4">
        <f t="shared" si="112"/>
        <v>1648043.46</v>
      </c>
      <c r="EK144" s="4">
        <f t="shared" si="112"/>
        <v>1357043.06</v>
      </c>
      <c r="EL144" s="4">
        <f t="shared" si="112"/>
        <v>0</v>
      </c>
      <c r="EM144" s="4">
        <f t="shared" si="112"/>
        <v>291000.40000000002</v>
      </c>
      <c r="EN144" s="4">
        <f t="shared" si="112"/>
        <v>310125.26</v>
      </c>
      <c r="EO144" s="4">
        <f t="shared" si="112"/>
        <v>310125.26</v>
      </c>
      <c r="EP144" s="4">
        <f t="shared" si="112"/>
        <v>0</v>
      </c>
      <c r="EQ144" s="4">
        <f t="shared" si="112"/>
        <v>310125.26</v>
      </c>
      <c r="ER144" s="4">
        <f t="shared" si="112"/>
        <v>0</v>
      </c>
      <c r="ES144" s="4">
        <f t="shared" si="112"/>
        <v>0</v>
      </c>
      <c r="ET144" s="4">
        <f t="shared" si="112"/>
        <v>0</v>
      </c>
      <c r="EU144" s="4">
        <f t="shared" si="112"/>
        <v>0</v>
      </c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>
        <v>0</v>
      </c>
    </row>
    <row r="146" spans="1:23" x14ac:dyDescent="0.2">
      <c r="A146" s="70">
        <v>50</v>
      </c>
      <c r="B146" s="5">
        <v>0</v>
      </c>
      <c r="C146" s="5">
        <v>0</v>
      </c>
      <c r="D146" s="5">
        <v>1</v>
      </c>
      <c r="E146" s="5">
        <v>201</v>
      </c>
      <c r="F146" s="5">
        <f>ROUND(Source!O144,O146)</f>
        <v>56093.43</v>
      </c>
      <c r="G146" s="5" t="s">
        <v>38</v>
      </c>
      <c r="H146" s="5" t="s">
        <v>39</v>
      </c>
      <c r="I146" s="5"/>
      <c r="J146" s="5"/>
      <c r="K146" s="5">
        <v>201</v>
      </c>
      <c r="L146" s="5">
        <v>1</v>
      </c>
      <c r="M146" s="5">
        <v>3</v>
      </c>
      <c r="N146" s="5" t="s">
        <v>3</v>
      </c>
      <c r="O146" s="5">
        <v>2</v>
      </c>
      <c r="P146" s="5">
        <f>ROUND(Source!DG144,O146)</f>
        <v>784069.6</v>
      </c>
      <c r="Q146" s="5"/>
      <c r="R146" s="5"/>
      <c r="S146" s="5"/>
      <c r="T146" s="5"/>
      <c r="U146" s="5"/>
      <c r="V146" s="5"/>
      <c r="W146" s="5"/>
    </row>
    <row r="147" spans="1:23" x14ac:dyDescent="0.2">
      <c r="A147" s="70">
        <v>50</v>
      </c>
      <c r="B147" s="5">
        <v>0</v>
      </c>
      <c r="C147" s="5">
        <v>0</v>
      </c>
      <c r="D147" s="5">
        <v>1</v>
      </c>
      <c r="E147" s="5">
        <v>202</v>
      </c>
      <c r="F147" s="5">
        <f>ROUND(Source!P144,O147)</f>
        <v>40285.18</v>
      </c>
      <c r="G147" s="5" t="s">
        <v>40</v>
      </c>
      <c r="H147" s="5" t="s">
        <v>41</v>
      </c>
      <c r="I147" s="5"/>
      <c r="J147" s="5"/>
      <c r="K147" s="5">
        <v>202</v>
      </c>
      <c r="L147" s="5">
        <v>2</v>
      </c>
      <c r="M147" s="5">
        <v>3</v>
      </c>
      <c r="N147" s="5" t="s">
        <v>3</v>
      </c>
      <c r="O147" s="5">
        <v>2</v>
      </c>
      <c r="P147" s="5">
        <f>ROUND(Source!DH144,O147)</f>
        <v>310125.26</v>
      </c>
      <c r="Q147" s="5"/>
      <c r="R147" s="5"/>
      <c r="S147" s="5"/>
      <c r="T147" s="5"/>
      <c r="U147" s="5"/>
      <c r="V147" s="5"/>
      <c r="W147" s="5"/>
    </row>
    <row r="148" spans="1:23" x14ac:dyDescent="0.2">
      <c r="A148" s="70">
        <v>50</v>
      </c>
      <c r="B148" s="5">
        <v>0</v>
      </c>
      <c r="C148" s="5">
        <v>0</v>
      </c>
      <c r="D148" s="5">
        <v>1</v>
      </c>
      <c r="E148" s="5">
        <v>222</v>
      </c>
      <c r="F148" s="5">
        <f>ROUND(Source!AO144,O148)</f>
        <v>0</v>
      </c>
      <c r="G148" s="5" t="s">
        <v>42</v>
      </c>
      <c r="H148" s="5" t="s">
        <v>43</v>
      </c>
      <c r="I148" s="5"/>
      <c r="J148" s="5"/>
      <c r="K148" s="5">
        <v>222</v>
      </c>
      <c r="L148" s="5">
        <v>3</v>
      </c>
      <c r="M148" s="5">
        <v>3</v>
      </c>
      <c r="N148" s="5" t="s">
        <v>3</v>
      </c>
      <c r="O148" s="5">
        <v>2</v>
      </c>
      <c r="P148" s="5">
        <f>ROUND(Source!EG144,O148)</f>
        <v>0</v>
      </c>
      <c r="Q148" s="5"/>
      <c r="R148" s="5"/>
      <c r="S148" s="5"/>
      <c r="T148" s="5"/>
      <c r="U148" s="5"/>
      <c r="V148" s="5"/>
      <c r="W148" s="5"/>
    </row>
    <row r="149" spans="1:23" x14ac:dyDescent="0.2">
      <c r="A149" s="70">
        <v>50</v>
      </c>
      <c r="B149" s="5">
        <v>0</v>
      </c>
      <c r="C149" s="5">
        <v>0</v>
      </c>
      <c r="D149" s="5">
        <v>1</v>
      </c>
      <c r="E149" s="5">
        <v>225</v>
      </c>
      <c r="F149" s="5">
        <f>ROUND(Source!AV144,O149)</f>
        <v>40285.18</v>
      </c>
      <c r="G149" s="5" t="s">
        <v>44</v>
      </c>
      <c r="H149" s="5" t="s">
        <v>45</v>
      </c>
      <c r="I149" s="5"/>
      <c r="J149" s="5"/>
      <c r="K149" s="5">
        <v>225</v>
      </c>
      <c r="L149" s="5">
        <v>4</v>
      </c>
      <c r="M149" s="5">
        <v>3</v>
      </c>
      <c r="N149" s="5" t="s">
        <v>3</v>
      </c>
      <c r="O149" s="5">
        <v>2</v>
      </c>
      <c r="P149" s="5">
        <f>ROUND(Source!EN144,O149)</f>
        <v>310125.26</v>
      </c>
      <c r="Q149" s="5"/>
      <c r="R149" s="5"/>
      <c r="S149" s="5"/>
      <c r="T149" s="5"/>
      <c r="U149" s="5"/>
      <c r="V149" s="5"/>
      <c r="W149" s="5"/>
    </row>
    <row r="150" spans="1:23" x14ac:dyDescent="0.2">
      <c r="A150" s="70">
        <v>50</v>
      </c>
      <c r="B150" s="5">
        <v>0</v>
      </c>
      <c r="C150" s="5">
        <v>0</v>
      </c>
      <c r="D150" s="5">
        <v>1</v>
      </c>
      <c r="E150" s="5">
        <v>226</v>
      </c>
      <c r="F150" s="5">
        <f>ROUND(Source!AW144,O150)</f>
        <v>40285.18</v>
      </c>
      <c r="G150" s="5" t="s">
        <v>46</v>
      </c>
      <c r="H150" s="5" t="s">
        <v>47</v>
      </c>
      <c r="I150" s="5"/>
      <c r="J150" s="5"/>
      <c r="K150" s="5">
        <v>226</v>
      </c>
      <c r="L150" s="5">
        <v>5</v>
      </c>
      <c r="M150" s="5">
        <v>3</v>
      </c>
      <c r="N150" s="5" t="s">
        <v>3</v>
      </c>
      <c r="O150" s="5">
        <v>2</v>
      </c>
      <c r="P150" s="5">
        <f>ROUND(Source!EO144,O150)</f>
        <v>310125.26</v>
      </c>
      <c r="Q150" s="5"/>
      <c r="R150" s="5"/>
      <c r="S150" s="5"/>
      <c r="T150" s="5"/>
      <c r="U150" s="5"/>
      <c r="V150" s="5"/>
      <c r="W150" s="5"/>
    </row>
    <row r="151" spans="1:23" x14ac:dyDescent="0.2">
      <c r="A151" s="70">
        <v>50</v>
      </c>
      <c r="B151" s="5">
        <v>0</v>
      </c>
      <c r="C151" s="5">
        <v>0</v>
      </c>
      <c r="D151" s="5">
        <v>1</v>
      </c>
      <c r="E151" s="5">
        <v>227</v>
      </c>
      <c r="F151" s="5">
        <f>ROUND(Source!AX144,O151)</f>
        <v>0</v>
      </c>
      <c r="G151" s="5" t="s">
        <v>48</v>
      </c>
      <c r="H151" s="5" t="s">
        <v>49</v>
      </c>
      <c r="I151" s="5"/>
      <c r="J151" s="5"/>
      <c r="K151" s="5">
        <v>227</v>
      </c>
      <c r="L151" s="5">
        <v>6</v>
      </c>
      <c r="M151" s="5">
        <v>3</v>
      </c>
      <c r="N151" s="5" t="s">
        <v>3</v>
      </c>
      <c r="O151" s="5">
        <v>2</v>
      </c>
      <c r="P151" s="5">
        <f>ROUND(Source!EP144,O151)</f>
        <v>0</v>
      </c>
      <c r="Q151" s="5"/>
      <c r="R151" s="5"/>
      <c r="S151" s="5"/>
      <c r="T151" s="5"/>
      <c r="U151" s="5"/>
      <c r="V151" s="5"/>
      <c r="W151" s="5"/>
    </row>
    <row r="152" spans="1:23" x14ac:dyDescent="0.2">
      <c r="A152" s="70">
        <v>50</v>
      </c>
      <c r="B152" s="5">
        <v>0</v>
      </c>
      <c r="C152" s="5">
        <v>0</v>
      </c>
      <c r="D152" s="5">
        <v>1</v>
      </c>
      <c r="E152" s="5">
        <v>228</v>
      </c>
      <c r="F152" s="5">
        <f>ROUND(Source!AY144,O152)</f>
        <v>40285.18</v>
      </c>
      <c r="G152" s="5" t="s">
        <v>50</v>
      </c>
      <c r="H152" s="5" t="s">
        <v>51</v>
      </c>
      <c r="I152" s="5"/>
      <c r="J152" s="5"/>
      <c r="K152" s="5">
        <v>228</v>
      </c>
      <c r="L152" s="5">
        <v>7</v>
      </c>
      <c r="M152" s="5">
        <v>3</v>
      </c>
      <c r="N152" s="5" t="s">
        <v>3</v>
      </c>
      <c r="O152" s="5">
        <v>2</v>
      </c>
      <c r="P152" s="5">
        <f>ROUND(Source!EQ144,O152)</f>
        <v>310125.26</v>
      </c>
      <c r="Q152" s="5"/>
      <c r="R152" s="5"/>
      <c r="S152" s="5"/>
      <c r="T152" s="5"/>
      <c r="U152" s="5"/>
      <c r="V152" s="5"/>
      <c r="W152" s="5"/>
    </row>
    <row r="153" spans="1:23" x14ac:dyDescent="0.2">
      <c r="A153" s="70">
        <v>50</v>
      </c>
      <c r="B153" s="5">
        <v>0</v>
      </c>
      <c r="C153" s="5">
        <v>0</v>
      </c>
      <c r="D153" s="5">
        <v>1</v>
      </c>
      <c r="E153" s="5">
        <v>216</v>
      </c>
      <c r="F153" s="5">
        <f>ROUND(Source!AP144,O153)</f>
        <v>0</v>
      </c>
      <c r="G153" s="5" t="s">
        <v>52</v>
      </c>
      <c r="H153" s="5" t="s">
        <v>53</v>
      </c>
      <c r="I153" s="5"/>
      <c r="J153" s="5"/>
      <c r="K153" s="5">
        <v>216</v>
      </c>
      <c r="L153" s="5">
        <v>8</v>
      </c>
      <c r="M153" s="5">
        <v>3</v>
      </c>
      <c r="N153" s="5" t="s">
        <v>3</v>
      </c>
      <c r="O153" s="5">
        <v>2</v>
      </c>
      <c r="P153" s="5">
        <f>ROUND(Source!EH144,O153)</f>
        <v>0</v>
      </c>
      <c r="Q153" s="5"/>
      <c r="R153" s="5"/>
      <c r="S153" s="5"/>
      <c r="T153" s="5"/>
      <c r="U153" s="5"/>
      <c r="V153" s="5"/>
      <c r="W153" s="5"/>
    </row>
    <row r="154" spans="1:23" x14ac:dyDescent="0.2">
      <c r="A154" s="70">
        <v>50</v>
      </c>
      <c r="B154" s="5">
        <v>0</v>
      </c>
      <c r="C154" s="5">
        <v>0</v>
      </c>
      <c r="D154" s="5">
        <v>1</v>
      </c>
      <c r="E154" s="5">
        <v>223</v>
      </c>
      <c r="F154" s="5">
        <f>ROUND(Source!AQ144,O154)</f>
        <v>0</v>
      </c>
      <c r="G154" s="5" t="s">
        <v>54</v>
      </c>
      <c r="H154" s="5" t="s">
        <v>55</v>
      </c>
      <c r="I154" s="5"/>
      <c r="J154" s="5"/>
      <c r="K154" s="5">
        <v>223</v>
      </c>
      <c r="L154" s="5">
        <v>9</v>
      </c>
      <c r="M154" s="5">
        <v>3</v>
      </c>
      <c r="N154" s="5" t="s">
        <v>3</v>
      </c>
      <c r="O154" s="5">
        <v>2</v>
      </c>
      <c r="P154" s="5">
        <f>ROUND(Source!EI144,O154)</f>
        <v>0</v>
      </c>
      <c r="Q154" s="5"/>
      <c r="R154" s="5"/>
      <c r="S154" s="5"/>
      <c r="T154" s="5"/>
      <c r="U154" s="5"/>
      <c r="V154" s="5"/>
      <c r="W154" s="5"/>
    </row>
    <row r="155" spans="1:23" x14ac:dyDescent="0.2">
      <c r="A155" s="70">
        <v>50</v>
      </c>
      <c r="B155" s="5">
        <v>0</v>
      </c>
      <c r="C155" s="5">
        <v>0</v>
      </c>
      <c r="D155" s="5">
        <v>1</v>
      </c>
      <c r="E155" s="5">
        <v>229</v>
      </c>
      <c r="F155" s="5">
        <f>ROUND(Source!AZ144,O155)</f>
        <v>0</v>
      </c>
      <c r="G155" s="5" t="s">
        <v>56</v>
      </c>
      <c r="H155" s="5" t="s">
        <v>57</v>
      </c>
      <c r="I155" s="5"/>
      <c r="J155" s="5"/>
      <c r="K155" s="5">
        <v>229</v>
      </c>
      <c r="L155" s="5">
        <v>10</v>
      </c>
      <c r="M155" s="5">
        <v>3</v>
      </c>
      <c r="N155" s="5" t="s">
        <v>3</v>
      </c>
      <c r="O155" s="5">
        <v>2</v>
      </c>
      <c r="P155" s="5">
        <f>ROUND(Source!ER144,O155)</f>
        <v>0</v>
      </c>
      <c r="Q155" s="5"/>
      <c r="R155" s="5"/>
      <c r="S155" s="5"/>
      <c r="T155" s="5"/>
      <c r="U155" s="5"/>
      <c r="V155" s="5"/>
      <c r="W155" s="5"/>
    </row>
    <row r="156" spans="1:23" x14ac:dyDescent="0.2">
      <c r="A156" s="70">
        <v>50</v>
      </c>
      <c r="B156" s="5">
        <v>0</v>
      </c>
      <c r="C156" s="5">
        <v>0</v>
      </c>
      <c r="D156" s="5">
        <v>1</v>
      </c>
      <c r="E156" s="5">
        <v>203</v>
      </c>
      <c r="F156" s="5">
        <f>ROUND(Source!Q144,O156)</f>
        <v>196.49</v>
      </c>
      <c r="G156" s="5" t="s">
        <v>58</v>
      </c>
      <c r="H156" s="5" t="s">
        <v>59</v>
      </c>
      <c r="I156" s="5"/>
      <c r="J156" s="5"/>
      <c r="K156" s="5">
        <v>203</v>
      </c>
      <c r="L156" s="5">
        <v>11</v>
      </c>
      <c r="M156" s="5">
        <v>3</v>
      </c>
      <c r="N156" s="5" t="s">
        <v>3</v>
      </c>
      <c r="O156" s="5">
        <v>2</v>
      </c>
      <c r="P156" s="5">
        <f>ROUND(Source!DI144,O156)</f>
        <v>1845</v>
      </c>
      <c r="Q156" s="5"/>
      <c r="R156" s="5"/>
      <c r="S156" s="5"/>
      <c r="T156" s="5"/>
      <c r="U156" s="5"/>
      <c r="V156" s="5"/>
      <c r="W156" s="5"/>
    </row>
    <row r="157" spans="1:23" x14ac:dyDescent="0.2">
      <c r="A157" s="70">
        <v>50</v>
      </c>
      <c r="B157" s="5">
        <v>0</v>
      </c>
      <c r="C157" s="5">
        <v>0</v>
      </c>
      <c r="D157" s="5">
        <v>1</v>
      </c>
      <c r="E157" s="5">
        <v>231</v>
      </c>
      <c r="F157" s="5">
        <f>ROUND(Source!BB144,O157)</f>
        <v>0</v>
      </c>
      <c r="G157" s="5" t="s">
        <v>60</v>
      </c>
      <c r="H157" s="5" t="s">
        <v>61</v>
      </c>
      <c r="I157" s="5"/>
      <c r="J157" s="5"/>
      <c r="K157" s="5">
        <v>231</v>
      </c>
      <c r="L157" s="5">
        <v>12</v>
      </c>
      <c r="M157" s="5">
        <v>3</v>
      </c>
      <c r="N157" s="5" t="s">
        <v>3</v>
      </c>
      <c r="O157" s="5">
        <v>2</v>
      </c>
      <c r="P157" s="5">
        <f>ROUND(Source!ET144,O157)</f>
        <v>0</v>
      </c>
      <c r="Q157" s="5"/>
      <c r="R157" s="5"/>
      <c r="S157" s="5"/>
      <c r="T157" s="5"/>
      <c r="U157" s="5"/>
      <c r="V157" s="5"/>
      <c r="W157" s="5"/>
    </row>
    <row r="158" spans="1:23" x14ac:dyDescent="0.2">
      <c r="A158" s="70">
        <v>50</v>
      </c>
      <c r="B158" s="5">
        <v>0</v>
      </c>
      <c r="C158" s="5">
        <v>0</v>
      </c>
      <c r="D158" s="5">
        <v>1</v>
      </c>
      <c r="E158" s="5">
        <v>204</v>
      </c>
      <c r="F158" s="5">
        <f>ROUND(Source!R144,O158)</f>
        <v>44.68</v>
      </c>
      <c r="G158" s="5" t="s">
        <v>62</v>
      </c>
      <c r="H158" s="5" t="s">
        <v>63</v>
      </c>
      <c r="I158" s="5"/>
      <c r="J158" s="5"/>
      <c r="K158" s="5">
        <v>204</v>
      </c>
      <c r="L158" s="5">
        <v>13</v>
      </c>
      <c r="M158" s="5">
        <v>3</v>
      </c>
      <c r="N158" s="5" t="s">
        <v>3</v>
      </c>
      <c r="O158" s="5">
        <v>2</v>
      </c>
      <c r="P158" s="5">
        <f>ROUND(Source!DJ144,O158)</f>
        <v>1350.87</v>
      </c>
      <c r="Q158" s="5"/>
      <c r="R158" s="5"/>
      <c r="S158" s="5"/>
      <c r="T158" s="5"/>
      <c r="U158" s="5"/>
      <c r="V158" s="5"/>
      <c r="W158" s="5"/>
    </row>
    <row r="159" spans="1:23" x14ac:dyDescent="0.2">
      <c r="A159" s="70">
        <v>50</v>
      </c>
      <c r="B159" s="5">
        <v>0</v>
      </c>
      <c r="C159" s="5">
        <v>0</v>
      </c>
      <c r="D159" s="5">
        <v>1</v>
      </c>
      <c r="E159" s="5">
        <v>205</v>
      </c>
      <c r="F159" s="5">
        <f>ROUND(Source!S144,O159)</f>
        <v>15611.76</v>
      </c>
      <c r="G159" s="5" t="s">
        <v>64</v>
      </c>
      <c r="H159" s="5" t="s">
        <v>65</v>
      </c>
      <c r="I159" s="5"/>
      <c r="J159" s="5"/>
      <c r="K159" s="5">
        <v>205</v>
      </c>
      <c r="L159" s="5">
        <v>14</v>
      </c>
      <c r="M159" s="5">
        <v>3</v>
      </c>
      <c r="N159" s="5" t="s">
        <v>3</v>
      </c>
      <c r="O159" s="5">
        <v>2</v>
      </c>
      <c r="P159" s="5">
        <f>ROUND(Source!DK144,O159)</f>
        <v>472099.34</v>
      </c>
      <c r="Q159" s="5"/>
      <c r="R159" s="5"/>
      <c r="S159" s="5"/>
      <c r="T159" s="5"/>
      <c r="U159" s="5"/>
      <c r="V159" s="5"/>
      <c r="W159" s="5"/>
    </row>
    <row r="160" spans="1:23" x14ac:dyDescent="0.2">
      <c r="A160" s="70">
        <v>50</v>
      </c>
      <c r="B160" s="5">
        <v>0</v>
      </c>
      <c r="C160" s="5">
        <v>0</v>
      </c>
      <c r="D160" s="5">
        <v>1</v>
      </c>
      <c r="E160" s="5">
        <v>232</v>
      </c>
      <c r="F160" s="5">
        <f>ROUND(Source!BC144,O160)</f>
        <v>0</v>
      </c>
      <c r="G160" s="5" t="s">
        <v>66</v>
      </c>
      <c r="H160" s="5" t="s">
        <v>67</v>
      </c>
      <c r="I160" s="5"/>
      <c r="J160" s="5"/>
      <c r="K160" s="5">
        <v>232</v>
      </c>
      <c r="L160" s="5">
        <v>15</v>
      </c>
      <c r="M160" s="5">
        <v>3</v>
      </c>
      <c r="N160" s="5" t="s">
        <v>3</v>
      </c>
      <c r="O160" s="5">
        <v>2</v>
      </c>
      <c r="P160" s="5">
        <f>ROUND(Source!EU144,O160)</f>
        <v>0</v>
      </c>
      <c r="Q160" s="5"/>
      <c r="R160" s="5"/>
      <c r="S160" s="5"/>
      <c r="T160" s="5"/>
      <c r="U160" s="5"/>
      <c r="V160" s="5"/>
      <c r="W160" s="5"/>
    </row>
    <row r="161" spans="1:23" x14ac:dyDescent="0.2">
      <c r="A161" s="70">
        <v>50</v>
      </c>
      <c r="B161" s="5">
        <v>0</v>
      </c>
      <c r="C161" s="5">
        <v>0</v>
      </c>
      <c r="D161" s="5">
        <v>1</v>
      </c>
      <c r="E161" s="5">
        <v>214</v>
      </c>
      <c r="F161" s="5">
        <f>ROUND(Source!AS144,O161)</f>
        <v>49508.67</v>
      </c>
      <c r="G161" s="5" t="s">
        <v>68</v>
      </c>
      <c r="H161" s="5" t="s">
        <v>69</v>
      </c>
      <c r="I161" s="5"/>
      <c r="J161" s="5"/>
      <c r="K161" s="5">
        <v>214</v>
      </c>
      <c r="L161" s="5">
        <v>16</v>
      </c>
      <c r="M161" s="5">
        <v>3</v>
      </c>
      <c r="N161" s="5" t="s">
        <v>3</v>
      </c>
      <c r="O161" s="5">
        <v>2</v>
      </c>
      <c r="P161" s="5">
        <f>ROUND(Source!EK144,O161)</f>
        <v>1357043.06</v>
      </c>
      <c r="Q161" s="5"/>
      <c r="R161" s="5"/>
      <c r="S161" s="5"/>
      <c r="T161" s="5"/>
      <c r="U161" s="5"/>
      <c r="V161" s="5"/>
      <c r="W161" s="5"/>
    </row>
    <row r="162" spans="1:23" x14ac:dyDescent="0.2">
      <c r="A162" s="70">
        <v>50</v>
      </c>
      <c r="B162" s="5">
        <v>0</v>
      </c>
      <c r="C162" s="5">
        <v>0</v>
      </c>
      <c r="D162" s="5">
        <v>1</v>
      </c>
      <c r="E162" s="5">
        <v>215</v>
      </c>
      <c r="F162" s="5">
        <f>ROUND(Source!AT144,O162)</f>
        <v>0</v>
      </c>
      <c r="G162" s="5" t="s">
        <v>70</v>
      </c>
      <c r="H162" s="5" t="s">
        <v>71</v>
      </c>
      <c r="I162" s="5"/>
      <c r="J162" s="5"/>
      <c r="K162" s="5">
        <v>215</v>
      </c>
      <c r="L162" s="5">
        <v>17</v>
      </c>
      <c r="M162" s="5">
        <v>3</v>
      </c>
      <c r="N162" s="5" t="s">
        <v>3</v>
      </c>
      <c r="O162" s="5">
        <v>2</v>
      </c>
      <c r="P162" s="5">
        <f>ROUND(Source!EL144,O162)</f>
        <v>0</v>
      </c>
      <c r="Q162" s="5"/>
      <c r="R162" s="5"/>
      <c r="S162" s="5"/>
      <c r="T162" s="5"/>
      <c r="U162" s="5"/>
      <c r="V162" s="5"/>
      <c r="W162" s="5"/>
    </row>
    <row r="163" spans="1:23" x14ac:dyDescent="0.2">
      <c r="A163" s="70">
        <v>50</v>
      </c>
      <c r="B163" s="5">
        <v>0</v>
      </c>
      <c r="C163" s="5">
        <v>0</v>
      </c>
      <c r="D163" s="5">
        <v>1</v>
      </c>
      <c r="E163" s="5">
        <v>217</v>
      </c>
      <c r="F163" s="5">
        <f>ROUND(Source!AU144,O163)</f>
        <v>36882.18</v>
      </c>
      <c r="G163" s="5" t="s">
        <v>72</v>
      </c>
      <c r="H163" s="5" t="s">
        <v>73</v>
      </c>
      <c r="I163" s="5"/>
      <c r="J163" s="5"/>
      <c r="K163" s="5">
        <v>217</v>
      </c>
      <c r="L163" s="5">
        <v>18</v>
      </c>
      <c r="M163" s="5">
        <v>3</v>
      </c>
      <c r="N163" s="5" t="s">
        <v>3</v>
      </c>
      <c r="O163" s="5">
        <v>2</v>
      </c>
      <c r="P163" s="5">
        <f>ROUND(Source!EM144,O163)</f>
        <v>291000.40000000002</v>
      </c>
      <c r="Q163" s="5"/>
      <c r="R163" s="5"/>
      <c r="S163" s="5"/>
      <c r="T163" s="5"/>
      <c r="U163" s="5"/>
      <c r="V163" s="5"/>
      <c r="W163" s="5"/>
    </row>
    <row r="164" spans="1:23" x14ac:dyDescent="0.2">
      <c r="A164" s="70">
        <v>50</v>
      </c>
      <c r="B164" s="5">
        <v>0</v>
      </c>
      <c r="C164" s="5">
        <v>0</v>
      </c>
      <c r="D164" s="5">
        <v>1</v>
      </c>
      <c r="E164" s="5">
        <v>230</v>
      </c>
      <c r="F164" s="5">
        <f>ROUND(Source!BA144,O164)</f>
        <v>0</v>
      </c>
      <c r="G164" s="5" t="s">
        <v>74</v>
      </c>
      <c r="H164" s="5" t="s">
        <v>75</v>
      </c>
      <c r="I164" s="5"/>
      <c r="J164" s="5"/>
      <c r="K164" s="5">
        <v>230</v>
      </c>
      <c r="L164" s="5">
        <v>19</v>
      </c>
      <c r="M164" s="5">
        <v>3</v>
      </c>
      <c r="N164" s="5" t="s">
        <v>3</v>
      </c>
      <c r="O164" s="5">
        <v>2</v>
      </c>
      <c r="P164" s="5">
        <f>ROUND(Source!ES144,O164)</f>
        <v>0</v>
      </c>
      <c r="Q164" s="5"/>
      <c r="R164" s="5"/>
      <c r="S164" s="5"/>
      <c r="T164" s="5"/>
      <c r="U164" s="5"/>
      <c r="V164" s="5"/>
      <c r="W164" s="5"/>
    </row>
    <row r="165" spans="1:23" x14ac:dyDescent="0.2">
      <c r="A165" s="70">
        <v>50</v>
      </c>
      <c r="B165" s="5">
        <v>0</v>
      </c>
      <c r="C165" s="5">
        <v>0</v>
      </c>
      <c r="D165" s="5">
        <v>1</v>
      </c>
      <c r="E165" s="5">
        <v>206</v>
      </c>
      <c r="F165" s="5">
        <f>ROUND(Source!T144,O165)</f>
        <v>0</v>
      </c>
      <c r="G165" s="5" t="s">
        <v>76</v>
      </c>
      <c r="H165" s="5" t="s">
        <v>77</v>
      </c>
      <c r="I165" s="5"/>
      <c r="J165" s="5"/>
      <c r="K165" s="5">
        <v>206</v>
      </c>
      <c r="L165" s="5">
        <v>20</v>
      </c>
      <c r="M165" s="5">
        <v>3</v>
      </c>
      <c r="N165" s="5" t="s">
        <v>3</v>
      </c>
      <c r="O165" s="5">
        <v>2</v>
      </c>
      <c r="P165" s="5">
        <f>ROUND(Source!DL144,O165)</f>
        <v>0</v>
      </c>
      <c r="Q165" s="5"/>
      <c r="R165" s="5"/>
      <c r="S165" s="5"/>
      <c r="T165" s="5"/>
      <c r="U165" s="5"/>
      <c r="V165" s="5"/>
      <c r="W165" s="5"/>
    </row>
    <row r="166" spans="1:23" x14ac:dyDescent="0.2">
      <c r="A166" s="70">
        <v>50</v>
      </c>
      <c r="B166" s="5">
        <v>0</v>
      </c>
      <c r="C166" s="5">
        <v>0</v>
      </c>
      <c r="D166" s="5">
        <v>1</v>
      </c>
      <c r="E166" s="5">
        <v>207</v>
      </c>
      <c r="F166" s="5">
        <f>Source!U144</f>
        <v>1940.9490221599999</v>
      </c>
      <c r="G166" s="5" t="s">
        <v>78</v>
      </c>
      <c r="H166" s="5" t="s">
        <v>79</v>
      </c>
      <c r="I166" s="5"/>
      <c r="J166" s="5"/>
      <c r="K166" s="5">
        <v>207</v>
      </c>
      <c r="L166" s="5">
        <v>21</v>
      </c>
      <c r="M166" s="5">
        <v>3</v>
      </c>
      <c r="N166" s="5" t="s">
        <v>3</v>
      </c>
      <c r="O166" s="5">
        <v>-1</v>
      </c>
      <c r="P166" s="5">
        <f>Source!DM144</f>
        <v>1940.9490221599999</v>
      </c>
      <c r="Q166" s="5"/>
      <c r="R166" s="5"/>
      <c r="S166" s="5"/>
      <c r="T166" s="5"/>
      <c r="U166" s="5"/>
      <c r="V166" s="5"/>
      <c r="W166" s="5"/>
    </row>
    <row r="167" spans="1:23" x14ac:dyDescent="0.2">
      <c r="A167" s="70">
        <v>50</v>
      </c>
      <c r="B167" s="5">
        <v>0</v>
      </c>
      <c r="C167" s="5">
        <v>0</v>
      </c>
      <c r="D167" s="5">
        <v>1</v>
      </c>
      <c r="E167" s="5">
        <v>208</v>
      </c>
      <c r="F167" s="5">
        <f>Source!V144</f>
        <v>3.6644747999999998</v>
      </c>
      <c r="G167" s="5" t="s">
        <v>80</v>
      </c>
      <c r="H167" s="5" t="s">
        <v>81</v>
      </c>
      <c r="I167" s="5"/>
      <c r="J167" s="5"/>
      <c r="K167" s="5">
        <v>208</v>
      </c>
      <c r="L167" s="5">
        <v>22</v>
      </c>
      <c r="M167" s="5">
        <v>3</v>
      </c>
      <c r="N167" s="5" t="s">
        <v>3</v>
      </c>
      <c r="O167" s="5">
        <v>-1</v>
      </c>
      <c r="P167" s="5">
        <f>Source!DN144</f>
        <v>3.6644747999999998</v>
      </c>
      <c r="Q167" s="5"/>
      <c r="R167" s="5"/>
      <c r="S167" s="5"/>
      <c r="T167" s="5"/>
      <c r="U167" s="5"/>
      <c r="V167" s="5"/>
      <c r="W167" s="5"/>
    </row>
    <row r="168" spans="1:23" x14ac:dyDescent="0.2">
      <c r="A168" s="70">
        <v>50</v>
      </c>
      <c r="B168" s="5">
        <v>0</v>
      </c>
      <c r="C168" s="5">
        <v>0</v>
      </c>
      <c r="D168" s="5">
        <v>1</v>
      </c>
      <c r="E168" s="5">
        <v>209</v>
      </c>
      <c r="F168" s="5">
        <f>ROUND(Source!W144,O168)</f>
        <v>0</v>
      </c>
      <c r="G168" s="5" t="s">
        <v>82</v>
      </c>
      <c r="H168" s="5" t="s">
        <v>83</v>
      </c>
      <c r="I168" s="5"/>
      <c r="J168" s="5"/>
      <c r="K168" s="5">
        <v>209</v>
      </c>
      <c r="L168" s="5">
        <v>23</v>
      </c>
      <c r="M168" s="5">
        <v>3</v>
      </c>
      <c r="N168" s="5" t="s">
        <v>3</v>
      </c>
      <c r="O168" s="5">
        <v>2</v>
      </c>
      <c r="P168" s="5">
        <f>ROUND(Source!DO144,O168)</f>
        <v>0</v>
      </c>
      <c r="Q168" s="5"/>
      <c r="R168" s="5"/>
      <c r="S168" s="5"/>
      <c r="T168" s="5"/>
      <c r="U168" s="5"/>
      <c r="V168" s="5"/>
      <c r="W168" s="5"/>
    </row>
    <row r="169" spans="1:23" x14ac:dyDescent="0.2">
      <c r="A169" s="70">
        <v>50</v>
      </c>
      <c r="B169" s="5">
        <v>0</v>
      </c>
      <c r="C169" s="5">
        <v>0</v>
      </c>
      <c r="D169" s="5">
        <v>1</v>
      </c>
      <c r="E169" s="5">
        <v>210</v>
      </c>
      <c r="F169" s="5">
        <f>ROUND(Source!X144,O169)</f>
        <v>16527.740000000002</v>
      </c>
      <c r="G169" s="5" t="s">
        <v>84</v>
      </c>
      <c r="H169" s="5" t="s">
        <v>85</v>
      </c>
      <c r="I169" s="5"/>
      <c r="J169" s="5"/>
      <c r="K169" s="5">
        <v>210</v>
      </c>
      <c r="L169" s="5">
        <v>24</v>
      </c>
      <c r="M169" s="5">
        <v>3</v>
      </c>
      <c r="N169" s="5" t="s">
        <v>3</v>
      </c>
      <c r="O169" s="5">
        <v>2</v>
      </c>
      <c r="P169" s="5">
        <f>ROUND(Source!DP144,O169)</f>
        <v>499798.45</v>
      </c>
      <c r="Q169" s="5"/>
      <c r="R169" s="5"/>
      <c r="S169" s="5"/>
      <c r="T169" s="5"/>
      <c r="U169" s="5"/>
      <c r="V169" s="5"/>
      <c r="W169" s="5"/>
    </row>
    <row r="170" spans="1:23" x14ac:dyDescent="0.2">
      <c r="A170" s="70">
        <v>50</v>
      </c>
      <c r="B170" s="5">
        <v>0</v>
      </c>
      <c r="C170" s="5">
        <v>0</v>
      </c>
      <c r="D170" s="5">
        <v>1</v>
      </c>
      <c r="E170" s="5">
        <v>211</v>
      </c>
      <c r="F170" s="5">
        <f>ROUND(Source!Y144,O170)</f>
        <v>10045.049999999999</v>
      </c>
      <c r="G170" s="5" t="s">
        <v>86</v>
      </c>
      <c r="H170" s="5" t="s">
        <v>87</v>
      </c>
      <c r="I170" s="5"/>
      <c r="J170" s="5"/>
      <c r="K170" s="5">
        <v>211</v>
      </c>
      <c r="L170" s="5">
        <v>25</v>
      </c>
      <c r="M170" s="5">
        <v>3</v>
      </c>
      <c r="N170" s="5" t="s">
        <v>3</v>
      </c>
      <c r="O170" s="5">
        <v>2</v>
      </c>
      <c r="P170" s="5">
        <f>ROUND(Source!DQ144,O170)</f>
        <v>303761.99</v>
      </c>
      <c r="Q170" s="5"/>
      <c r="R170" s="5"/>
      <c r="S170" s="5"/>
      <c r="T170" s="5"/>
      <c r="U170" s="5"/>
      <c r="V170" s="5"/>
      <c r="W170" s="5"/>
    </row>
    <row r="171" spans="1:23" x14ac:dyDescent="0.2">
      <c r="A171" s="70">
        <v>50</v>
      </c>
      <c r="B171" s="5">
        <v>0</v>
      </c>
      <c r="C171" s="5">
        <v>0</v>
      </c>
      <c r="D171" s="5">
        <v>1</v>
      </c>
      <c r="E171" s="5">
        <v>224</v>
      </c>
      <c r="F171" s="5">
        <f>ROUND(Source!AR144,O171)</f>
        <v>86390.85</v>
      </c>
      <c r="G171" s="5" t="s">
        <v>88</v>
      </c>
      <c r="H171" s="5" t="s">
        <v>89</v>
      </c>
      <c r="I171" s="5"/>
      <c r="J171" s="5"/>
      <c r="K171" s="5">
        <v>224</v>
      </c>
      <c r="L171" s="5">
        <v>26</v>
      </c>
      <c r="M171" s="5">
        <v>3</v>
      </c>
      <c r="N171" s="5" t="s">
        <v>3</v>
      </c>
      <c r="O171" s="5">
        <v>2</v>
      </c>
      <c r="P171" s="5">
        <f>ROUND(Source!EJ144,O171)</f>
        <v>1648043.46</v>
      </c>
      <c r="Q171" s="5"/>
      <c r="R171" s="5"/>
      <c r="S171" s="5"/>
      <c r="T171" s="5"/>
      <c r="U171" s="5"/>
      <c r="V171" s="5"/>
      <c r="W171" s="5"/>
    </row>
    <row r="172" spans="1:23" x14ac:dyDescent="0.2">
      <c r="A172" s="70">
        <v>50</v>
      </c>
      <c r="B172" s="5">
        <v>1</v>
      </c>
      <c r="C172" s="5">
        <v>0</v>
      </c>
      <c r="D172" s="5">
        <v>2</v>
      </c>
      <c r="E172" s="5">
        <v>0</v>
      </c>
      <c r="F172" s="5">
        <f>ROUND(F171,O172)</f>
        <v>86390.85</v>
      </c>
      <c r="G172" s="5" t="s">
        <v>118</v>
      </c>
      <c r="H172" s="5" t="s">
        <v>118</v>
      </c>
      <c r="I172" s="5"/>
      <c r="J172" s="5"/>
      <c r="K172" s="5">
        <v>212</v>
      </c>
      <c r="L172" s="5">
        <v>27</v>
      </c>
      <c r="M172" s="5">
        <v>0</v>
      </c>
      <c r="N172" s="5" t="s">
        <v>3</v>
      </c>
      <c r="O172" s="5">
        <v>2</v>
      </c>
      <c r="P172" s="5">
        <f>ROUND(P171,O172)</f>
        <v>1648043.46</v>
      </c>
      <c r="Q172" s="5"/>
      <c r="R172" s="5"/>
      <c r="S172" s="5"/>
      <c r="T172" s="5"/>
      <c r="U172" s="5"/>
      <c r="V172" s="5"/>
      <c r="W172" s="5"/>
    </row>
    <row r="173" spans="1:23" x14ac:dyDescent="0.2">
      <c r="A173" s="70">
        <v>50</v>
      </c>
      <c r="B173" s="5">
        <v>0</v>
      </c>
      <c r="C173" s="5">
        <v>0</v>
      </c>
      <c r="D173" s="5">
        <v>2</v>
      </c>
      <c r="E173" s="5">
        <v>0</v>
      </c>
      <c r="F173" s="5">
        <f>ROUND(F153,O173)</f>
        <v>0</v>
      </c>
      <c r="G173" s="5" t="s">
        <v>119</v>
      </c>
      <c r="H173" s="5" t="s">
        <v>120</v>
      </c>
      <c r="I173" s="5"/>
      <c r="J173" s="5"/>
      <c r="K173" s="5">
        <v>212</v>
      </c>
      <c r="L173" s="5">
        <v>28</v>
      </c>
      <c r="M173" s="5">
        <v>1</v>
      </c>
      <c r="N173" s="5" t="s">
        <v>3</v>
      </c>
      <c r="O173" s="5">
        <v>2</v>
      </c>
      <c r="P173" s="5">
        <f>ROUND(P153,O173)</f>
        <v>0</v>
      </c>
      <c r="Q173" s="5"/>
      <c r="R173" s="5"/>
      <c r="S173" s="5"/>
      <c r="T173" s="5"/>
      <c r="U173" s="5"/>
      <c r="V173" s="5"/>
      <c r="W173" s="5"/>
    </row>
    <row r="174" spans="1:23" x14ac:dyDescent="0.2">
      <c r="A174" s="70">
        <v>50</v>
      </c>
      <c r="B174" s="5">
        <v>1</v>
      </c>
      <c r="C174" s="5">
        <v>0</v>
      </c>
      <c r="D174" s="5">
        <v>2</v>
      </c>
      <c r="E174" s="5">
        <v>0</v>
      </c>
      <c r="F174" s="5">
        <f>ROUND(F163,O174)</f>
        <v>36882.18</v>
      </c>
      <c r="G174" s="5" t="s">
        <v>121</v>
      </c>
      <c r="H174" s="5" t="s">
        <v>122</v>
      </c>
      <c r="I174" s="5"/>
      <c r="J174" s="5"/>
      <c r="K174" s="5">
        <v>212</v>
      </c>
      <c r="L174" s="5">
        <v>29</v>
      </c>
      <c r="M174" s="5">
        <v>1</v>
      </c>
      <c r="N174" s="5" t="s">
        <v>3</v>
      </c>
      <c r="O174" s="5">
        <v>2</v>
      </c>
      <c r="P174" s="5">
        <f>ROUND(P163,O174)</f>
        <v>291000.40000000002</v>
      </c>
      <c r="Q174" s="5"/>
      <c r="R174" s="5"/>
      <c r="S174" s="5"/>
      <c r="T174" s="5"/>
      <c r="U174" s="5"/>
      <c r="V174" s="5"/>
      <c r="W174" s="5"/>
    </row>
    <row r="175" spans="1:23" x14ac:dyDescent="0.2">
      <c r="A175" s="70">
        <v>50</v>
      </c>
      <c r="B175" s="5">
        <v>1</v>
      </c>
      <c r="C175" s="5">
        <v>0</v>
      </c>
      <c r="D175" s="5">
        <v>2</v>
      </c>
      <c r="E175" s="5">
        <v>0</v>
      </c>
      <c r="F175" s="5">
        <f>ROUND((F172-F173-F174)/100*1.41,O175)</f>
        <v>698.07</v>
      </c>
      <c r="G175" s="5" t="s">
        <v>123</v>
      </c>
      <c r="H175" s="5" t="s">
        <v>124</v>
      </c>
      <c r="I175" s="5"/>
      <c r="J175" s="5"/>
      <c r="K175" s="5">
        <v>212</v>
      </c>
      <c r="L175" s="5">
        <v>30</v>
      </c>
      <c r="M175" s="5">
        <v>0</v>
      </c>
      <c r="N175" s="5" t="s">
        <v>3</v>
      </c>
      <c r="O175" s="5">
        <v>2</v>
      </c>
      <c r="P175" s="5">
        <f>ROUND((P172-P173-P174)/100*1.41,O175)</f>
        <v>19134.310000000001</v>
      </c>
      <c r="Q175" s="5"/>
      <c r="R175" s="5"/>
      <c r="S175" s="5"/>
      <c r="T175" s="5"/>
      <c r="U175" s="5"/>
      <c r="V175" s="5"/>
      <c r="W175" s="5"/>
    </row>
    <row r="176" spans="1:23" x14ac:dyDescent="0.2">
      <c r="A176" s="70">
        <v>50</v>
      </c>
      <c r="B176" s="5">
        <v>1</v>
      </c>
      <c r="C176" s="5">
        <v>0</v>
      </c>
      <c r="D176" s="5">
        <v>2</v>
      </c>
      <c r="E176" s="5">
        <v>0</v>
      </c>
      <c r="F176" s="5">
        <f>ROUND(F172+F175,O176)</f>
        <v>87088.92</v>
      </c>
      <c r="G176" s="5" t="s">
        <v>125</v>
      </c>
      <c r="H176" s="5" t="s">
        <v>126</v>
      </c>
      <c r="I176" s="5"/>
      <c r="J176" s="5"/>
      <c r="K176" s="5">
        <v>212</v>
      </c>
      <c r="L176" s="5">
        <v>31</v>
      </c>
      <c r="M176" s="5">
        <v>0</v>
      </c>
      <c r="N176" s="5" t="s">
        <v>3</v>
      </c>
      <c r="O176" s="5">
        <v>2</v>
      </c>
      <c r="P176" s="5">
        <f>ROUND(P172+P175,O176)</f>
        <v>1667177.77</v>
      </c>
      <c r="Q176" s="5"/>
      <c r="R176" s="5"/>
      <c r="S176" s="5"/>
      <c r="T176" s="5"/>
      <c r="U176" s="5"/>
      <c r="V176" s="5"/>
      <c r="W176" s="5"/>
    </row>
    <row r="177" spans="1:206" x14ac:dyDescent="0.2">
      <c r="A177" s="70">
        <v>50</v>
      </c>
      <c r="B177" s="5">
        <v>1</v>
      </c>
      <c r="C177" s="5">
        <v>0</v>
      </c>
      <c r="D177" s="5">
        <v>2</v>
      </c>
      <c r="E177" s="5">
        <v>0</v>
      </c>
      <c r="F177" s="5">
        <f>ROUND(F176*0.2,O177)</f>
        <v>17417.78</v>
      </c>
      <c r="G177" s="5" t="s">
        <v>127</v>
      </c>
      <c r="H177" s="5" t="s">
        <v>128</v>
      </c>
      <c r="I177" s="5"/>
      <c r="J177" s="5"/>
      <c r="K177" s="5">
        <v>212</v>
      </c>
      <c r="L177" s="5">
        <v>32</v>
      </c>
      <c r="M177" s="5">
        <v>0</v>
      </c>
      <c r="N177" s="5" t="s">
        <v>3</v>
      </c>
      <c r="O177" s="5">
        <v>2</v>
      </c>
      <c r="P177" s="5">
        <f>ROUND(P176*0.2,O177)</f>
        <v>333435.55</v>
      </c>
      <c r="Q177" s="5"/>
      <c r="R177" s="5"/>
      <c r="S177" s="5"/>
      <c r="T177" s="5"/>
      <c r="U177" s="5"/>
      <c r="V177" s="5"/>
      <c r="W177" s="5"/>
    </row>
    <row r="178" spans="1:206" x14ac:dyDescent="0.2">
      <c r="A178" s="70">
        <v>50</v>
      </c>
      <c r="B178" s="5">
        <v>1</v>
      </c>
      <c r="C178" s="5">
        <v>0</v>
      </c>
      <c r="D178" s="5">
        <v>2</v>
      </c>
      <c r="E178" s="5">
        <v>0</v>
      </c>
      <c r="F178" s="5">
        <f>ROUND(F176+F177,O178)</f>
        <v>104506.7</v>
      </c>
      <c r="G178" s="5" t="s">
        <v>129</v>
      </c>
      <c r="H178" s="5" t="s">
        <v>130</v>
      </c>
      <c r="I178" s="5"/>
      <c r="J178" s="5"/>
      <c r="K178" s="5">
        <v>212</v>
      </c>
      <c r="L178" s="5">
        <v>33</v>
      </c>
      <c r="M178" s="5">
        <v>0</v>
      </c>
      <c r="N178" s="5" t="s">
        <v>3</v>
      </c>
      <c r="O178" s="5">
        <v>2</v>
      </c>
      <c r="P178" s="5">
        <f>ROUND(P176+P177,O178)</f>
        <v>2000613.32</v>
      </c>
      <c r="Q178" s="5"/>
      <c r="R178" s="5"/>
      <c r="S178" s="5"/>
      <c r="T178" s="5"/>
      <c r="U178" s="5"/>
      <c r="V178" s="5"/>
      <c r="W178" s="5"/>
    </row>
    <row r="180" spans="1:206" x14ac:dyDescent="0.2">
      <c r="A180" s="68">
        <v>51</v>
      </c>
      <c r="B180" s="3">
        <f>B12</f>
        <v>244</v>
      </c>
      <c r="C180" s="3">
        <f>A12</f>
        <v>1</v>
      </c>
      <c r="D180" s="3">
        <f>ROW(A12)</f>
        <v>12</v>
      </c>
      <c r="E180" s="3"/>
      <c r="F180" s="3" t="str">
        <f>IF(F12&lt;&gt;"",F12,"")</f>
        <v>Новый объект</v>
      </c>
      <c r="G180" s="3" t="str">
        <f>IF(G12&lt;&gt;"",G12,"")</f>
        <v>А-01 Блок А. Демонтаж штукатурки в подвале</v>
      </c>
      <c r="H180" s="3">
        <v>0</v>
      </c>
      <c r="I180" s="3"/>
      <c r="J180" s="3"/>
      <c r="K180" s="3"/>
      <c r="L180" s="3"/>
      <c r="M180" s="3"/>
      <c r="N180" s="3"/>
      <c r="O180" s="3">
        <f t="shared" ref="O180:T180" si="113">ROUND(O144,2)</f>
        <v>56093.43</v>
      </c>
      <c r="P180" s="3">
        <f t="shared" si="113"/>
        <v>40285.18</v>
      </c>
      <c r="Q180" s="3">
        <f t="shared" si="113"/>
        <v>196.49</v>
      </c>
      <c r="R180" s="3">
        <f t="shared" si="113"/>
        <v>44.68</v>
      </c>
      <c r="S180" s="3">
        <f t="shared" si="113"/>
        <v>15611.76</v>
      </c>
      <c r="T180" s="3">
        <f t="shared" si="113"/>
        <v>0</v>
      </c>
      <c r="U180" s="3">
        <f>U144</f>
        <v>1940.9490221599999</v>
      </c>
      <c r="V180" s="3">
        <f>V144</f>
        <v>3.6644747999999998</v>
      </c>
      <c r="W180" s="3">
        <f>ROUND(W144,2)</f>
        <v>0</v>
      </c>
      <c r="X180" s="3">
        <f>ROUND(X144,2)</f>
        <v>16527.740000000002</v>
      </c>
      <c r="Y180" s="3">
        <f>ROUND(Y144,2)</f>
        <v>10045.049999999999</v>
      </c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>
        <f t="shared" ref="AO180:BC180" si="114">ROUND(AO144,2)</f>
        <v>0</v>
      </c>
      <c r="AP180" s="3">
        <f t="shared" si="114"/>
        <v>0</v>
      </c>
      <c r="AQ180" s="3">
        <f t="shared" si="114"/>
        <v>0</v>
      </c>
      <c r="AR180" s="3">
        <f t="shared" si="114"/>
        <v>86390.85</v>
      </c>
      <c r="AS180" s="3">
        <f t="shared" si="114"/>
        <v>49508.67</v>
      </c>
      <c r="AT180" s="3">
        <f t="shared" si="114"/>
        <v>0</v>
      </c>
      <c r="AU180" s="3">
        <f t="shared" si="114"/>
        <v>36882.18</v>
      </c>
      <c r="AV180" s="3">
        <f t="shared" si="114"/>
        <v>40285.18</v>
      </c>
      <c r="AW180" s="3">
        <f t="shared" si="114"/>
        <v>40285.18</v>
      </c>
      <c r="AX180" s="3">
        <f t="shared" si="114"/>
        <v>0</v>
      </c>
      <c r="AY180" s="3">
        <f t="shared" si="114"/>
        <v>40285.18</v>
      </c>
      <c r="AZ180" s="3">
        <f t="shared" si="114"/>
        <v>0</v>
      </c>
      <c r="BA180" s="3">
        <f t="shared" si="114"/>
        <v>0</v>
      </c>
      <c r="BB180" s="3">
        <f t="shared" si="114"/>
        <v>0</v>
      </c>
      <c r="BC180" s="3">
        <f t="shared" si="114"/>
        <v>0</v>
      </c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4">
        <f t="shared" ref="DG180:DL180" si="115">ROUND(DG144,2)</f>
        <v>784069.6</v>
      </c>
      <c r="DH180" s="4">
        <f t="shared" si="115"/>
        <v>310125.26</v>
      </c>
      <c r="DI180" s="4">
        <f t="shared" si="115"/>
        <v>1845</v>
      </c>
      <c r="DJ180" s="4">
        <f t="shared" si="115"/>
        <v>1350.87</v>
      </c>
      <c r="DK180" s="4">
        <f t="shared" si="115"/>
        <v>472099.34</v>
      </c>
      <c r="DL180" s="4">
        <f t="shared" si="115"/>
        <v>0</v>
      </c>
      <c r="DM180" s="4">
        <f>DM144</f>
        <v>1940.9490221599999</v>
      </c>
      <c r="DN180" s="4">
        <f>DN144</f>
        <v>3.6644747999999998</v>
      </c>
      <c r="DO180" s="4">
        <f>ROUND(DO144,2)</f>
        <v>0</v>
      </c>
      <c r="DP180" s="4">
        <f>ROUND(DP144,2)</f>
        <v>499798.45</v>
      </c>
      <c r="DQ180" s="4">
        <f>ROUND(DQ144,2)</f>
        <v>303761.99</v>
      </c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>
        <f t="shared" ref="EG180:EU180" si="116">ROUND(EG144,2)</f>
        <v>0</v>
      </c>
      <c r="EH180" s="4">
        <f t="shared" si="116"/>
        <v>0</v>
      </c>
      <c r="EI180" s="4">
        <f t="shared" si="116"/>
        <v>0</v>
      </c>
      <c r="EJ180" s="4">
        <f t="shared" si="116"/>
        <v>1648043.46</v>
      </c>
      <c r="EK180" s="4">
        <f t="shared" si="116"/>
        <v>1357043.06</v>
      </c>
      <c r="EL180" s="4">
        <f t="shared" si="116"/>
        <v>0</v>
      </c>
      <c r="EM180" s="4">
        <f t="shared" si="116"/>
        <v>291000.40000000002</v>
      </c>
      <c r="EN180" s="4">
        <f t="shared" si="116"/>
        <v>310125.26</v>
      </c>
      <c r="EO180" s="4">
        <f t="shared" si="116"/>
        <v>310125.26</v>
      </c>
      <c r="EP180" s="4">
        <f t="shared" si="116"/>
        <v>0</v>
      </c>
      <c r="EQ180" s="4">
        <f t="shared" si="116"/>
        <v>310125.26</v>
      </c>
      <c r="ER180" s="4">
        <f t="shared" si="116"/>
        <v>0</v>
      </c>
      <c r="ES180" s="4">
        <f t="shared" si="116"/>
        <v>0</v>
      </c>
      <c r="ET180" s="4">
        <f t="shared" si="116"/>
        <v>0</v>
      </c>
      <c r="EU180" s="4">
        <f t="shared" si="116"/>
        <v>0</v>
      </c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>
        <v>0</v>
      </c>
    </row>
    <row r="182" spans="1:206" x14ac:dyDescent="0.2">
      <c r="A182" s="70">
        <v>50</v>
      </c>
      <c r="B182" s="5">
        <v>0</v>
      </c>
      <c r="C182" s="5">
        <v>0</v>
      </c>
      <c r="D182" s="5">
        <v>1</v>
      </c>
      <c r="E182" s="5">
        <v>201</v>
      </c>
      <c r="F182" s="5">
        <f>ROUND(Source!O180,O182)</f>
        <v>56093.43</v>
      </c>
      <c r="G182" s="5" t="s">
        <v>38</v>
      </c>
      <c r="H182" s="5" t="s">
        <v>39</v>
      </c>
      <c r="I182" s="5"/>
      <c r="J182" s="5"/>
      <c r="K182" s="5">
        <v>201</v>
      </c>
      <c r="L182" s="5">
        <v>1</v>
      </c>
      <c r="M182" s="5">
        <v>3</v>
      </c>
      <c r="N182" s="5" t="s">
        <v>3</v>
      </c>
      <c r="O182" s="5">
        <v>2</v>
      </c>
      <c r="P182" s="5">
        <f>ROUND(Source!DG180,O182)</f>
        <v>784069.6</v>
      </c>
      <c r="Q182" s="5"/>
      <c r="R182" s="5"/>
      <c r="S182" s="5"/>
      <c r="T182" s="5"/>
      <c r="U182" s="5"/>
      <c r="V182" s="5"/>
      <c r="W182" s="5"/>
    </row>
    <row r="183" spans="1:206" x14ac:dyDescent="0.2">
      <c r="A183" s="70">
        <v>50</v>
      </c>
      <c r="B183" s="5">
        <v>0</v>
      </c>
      <c r="C183" s="5">
        <v>0</v>
      </c>
      <c r="D183" s="5">
        <v>1</v>
      </c>
      <c r="E183" s="5">
        <v>202</v>
      </c>
      <c r="F183" s="5">
        <f>ROUND(Source!P180,O183)</f>
        <v>40285.18</v>
      </c>
      <c r="G183" s="5" t="s">
        <v>40</v>
      </c>
      <c r="H183" s="5" t="s">
        <v>41</v>
      </c>
      <c r="I183" s="5"/>
      <c r="J183" s="5"/>
      <c r="K183" s="5">
        <v>202</v>
      </c>
      <c r="L183" s="5">
        <v>2</v>
      </c>
      <c r="M183" s="5">
        <v>3</v>
      </c>
      <c r="N183" s="5" t="s">
        <v>3</v>
      </c>
      <c r="O183" s="5">
        <v>2</v>
      </c>
      <c r="P183" s="5">
        <f>ROUND(Source!DH180,O183)</f>
        <v>310125.26</v>
      </c>
      <c r="Q183" s="5"/>
      <c r="R183" s="5"/>
      <c r="S183" s="5"/>
      <c r="T183" s="5"/>
      <c r="U183" s="5"/>
      <c r="V183" s="5"/>
      <c r="W183" s="5"/>
    </row>
    <row r="184" spans="1:206" x14ac:dyDescent="0.2">
      <c r="A184" s="70">
        <v>50</v>
      </c>
      <c r="B184" s="5">
        <v>0</v>
      </c>
      <c r="C184" s="5">
        <v>0</v>
      </c>
      <c r="D184" s="5">
        <v>1</v>
      </c>
      <c r="E184" s="5">
        <v>222</v>
      </c>
      <c r="F184" s="5">
        <f>ROUND(Source!AO180,O184)</f>
        <v>0</v>
      </c>
      <c r="G184" s="5" t="s">
        <v>42</v>
      </c>
      <c r="H184" s="5" t="s">
        <v>43</v>
      </c>
      <c r="I184" s="5"/>
      <c r="J184" s="5"/>
      <c r="K184" s="5">
        <v>222</v>
      </c>
      <c r="L184" s="5">
        <v>3</v>
      </c>
      <c r="M184" s="5">
        <v>3</v>
      </c>
      <c r="N184" s="5" t="s">
        <v>3</v>
      </c>
      <c r="O184" s="5">
        <v>2</v>
      </c>
      <c r="P184" s="5">
        <f>ROUND(Source!EG180,O184)</f>
        <v>0</v>
      </c>
      <c r="Q184" s="5"/>
      <c r="R184" s="5"/>
      <c r="S184" s="5"/>
      <c r="T184" s="5"/>
      <c r="U184" s="5"/>
      <c r="V184" s="5"/>
      <c r="W184" s="5"/>
    </row>
    <row r="185" spans="1:206" x14ac:dyDescent="0.2">
      <c r="A185" s="70">
        <v>50</v>
      </c>
      <c r="B185" s="5">
        <v>0</v>
      </c>
      <c r="C185" s="5">
        <v>0</v>
      </c>
      <c r="D185" s="5">
        <v>1</v>
      </c>
      <c r="E185" s="5">
        <v>225</v>
      </c>
      <c r="F185" s="5">
        <f>ROUND(Source!AV180,O185)</f>
        <v>40285.18</v>
      </c>
      <c r="G185" s="5" t="s">
        <v>44</v>
      </c>
      <c r="H185" s="5" t="s">
        <v>45</v>
      </c>
      <c r="I185" s="5"/>
      <c r="J185" s="5"/>
      <c r="K185" s="5">
        <v>225</v>
      </c>
      <c r="L185" s="5">
        <v>4</v>
      </c>
      <c r="M185" s="5">
        <v>3</v>
      </c>
      <c r="N185" s="5" t="s">
        <v>3</v>
      </c>
      <c r="O185" s="5">
        <v>2</v>
      </c>
      <c r="P185" s="5">
        <f>ROUND(Source!EN180,O185)</f>
        <v>310125.26</v>
      </c>
      <c r="Q185" s="5"/>
      <c r="R185" s="5"/>
      <c r="S185" s="5"/>
      <c r="T185" s="5"/>
      <c r="U185" s="5"/>
      <c r="V185" s="5"/>
      <c r="W185" s="5"/>
    </row>
    <row r="186" spans="1:206" x14ac:dyDescent="0.2">
      <c r="A186" s="70">
        <v>50</v>
      </c>
      <c r="B186" s="5">
        <v>0</v>
      </c>
      <c r="C186" s="5">
        <v>0</v>
      </c>
      <c r="D186" s="5">
        <v>1</v>
      </c>
      <c r="E186" s="5">
        <v>226</v>
      </c>
      <c r="F186" s="5">
        <f>ROUND(Source!AW180,O186)</f>
        <v>40285.18</v>
      </c>
      <c r="G186" s="5" t="s">
        <v>46</v>
      </c>
      <c r="H186" s="5" t="s">
        <v>47</v>
      </c>
      <c r="I186" s="5"/>
      <c r="J186" s="5"/>
      <c r="K186" s="5">
        <v>226</v>
      </c>
      <c r="L186" s="5">
        <v>5</v>
      </c>
      <c r="M186" s="5">
        <v>3</v>
      </c>
      <c r="N186" s="5" t="s">
        <v>3</v>
      </c>
      <c r="O186" s="5">
        <v>2</v>
      </c>
      <c r="P186" s="5">
        <f>ROUND(Source!EO180,O186)</f>
        <v>310125.26</v>
      </c>
      <c r="Q186" s="5"/>
      <c r="R186" s="5"/>
      <c r="S186" s="5"/>
      <c r="T186" s="5"/>
      <c r="U186" s="5"/>
      <c r="V186" s="5"/>
      <c r="W186" s="5"/>
    </row>
    <row r="187" spans="1:206" x14ac:dyDescent="0.2">
      <c r="A187" s="70">
        <v>50</v>
      </c>
      <c r="B187" s="5">
        <v>0</v>
      </c>
      <c r="C187" s="5">
        <v>0</v>
      </c>
      <c r="D187" s="5">
        <v>1</v>
      </c>
      <c r="E187" s="5">
        <v>227</v>
      </c>
      <c r="F187" s="5">
        <f>ROUND(Source!AX180,O187)</f>
        <v>0</v>
      </c>
      <c r="G187" s="5" t="s">
        <v>48</v>
      </c>
      <c r="H187" s="5" t="s">
        <v>49</v>
      </c>
      <c r="I187" s="5"/>
      <c r="J187" s="5"/>
      <c r="K187" s="5">
        <v>227</v>
      </c>
      <c r="L187" s="5">
        <v>6</v>
      </c>
      <c r="M187" s="5">
        <v>3</v>
      </c>
      <c r="N187" s="5" t="s">
        <v>3</v>
      </c>
      <c r="O187" s="5">
        <v>2</v>
      </c>
      <c r="P187" s="5">
        <f>ROUND(Source!EP180,O187)</f>
        <v>0</v>
      </c>
      <c r="Q187" s="5"/>
      <c r="R187" s="5"/>
      <c r="S187" s="5"/>
      <c r="T187" s="5"/>
      <c r="U187" s="5"/>
      <c r="V187" s="5"/>
      <c r="W187" s="5"/>
    </row>
    <row r="188" spans="1:206" x14ac:dyDescent="0.2">
      <c r="A188" s="70">
        <v>50</v>
      </c>
      <c r="B188" s="5">
        <v>0</v>
      </c>
      <c r="C188" s="5">
        <v>0</v>
      </c>
      <c r="D188" s="5">
        <v>1</v>
      </c>
      <c r="E188" s="5">
        <v>228</v>
      </c>
      <c r="F188" s="5">
        <f>ROUND(Source!AY180,O188)</f>
        <v>40285.18</v>
      </c>
      <c r="G188" s="5" t="s">
        <v>50</v>
      </c>
      <c r="H188" s="5" t="s">
        <v>51</v>
      </c>
      <c r="I188" s="5"/>
      <c r="J188" s="5"/>
      <c r="K188" s="5">
        <v>228</v>
      </c>
      <c r="L188" s="5">
        <v>7</v>
      </c>
      <c r="M188" s="5">
        <v>3</v>
      </c>
      <c r="N188" s="5" t="s">
        <v>3</v>
      </c>
      <c r="O188" s="5">
        <v>2</v>
      </c>
      <c r="P188" s="5">
        <f>ROUND(Source!EQ180,O188)</f>
        <v>310125.26</v>
      </c>
      <c r="Q188" s="5"/>
      <c r="R188" s="5"/>
      <c r="S188" s="5"/>
      <c r="T188" s="5"/>
      <c r="U188" s="5"/>
      <c r="V188" s="5"/>
      <c r="W188" s="5"/>
    </row>
    <row r="189" spans="1:206" x14ac:dyDescent="0.2">
      <c r="A189" s="70">
        <v>50</v>
      </c>
      <c r="B189" s="5">
        <v>0</v>
      </c>
      <c r="C189" s="5">
        <v>0</v>
      </c>
      <c r="D189" s="5">
        <v>1</v>
      </c>
      <c r="E189" s="5">
        <v>216</v>
      </c>
      <c r="F189" s="5">
        <f>ROUND(Source!AP180,O189)</f>
        <v>0</v>
      </c>
      <c r="G189" s="5" t="s">
        <v>52</v>
      </c>
      <c r="H189" s="5" t="s">
        <v>53</v>
      </c>
      <c r="I189" s="5"/>
      <c r="J189" s="5"/>
      <c r="K189" s="5">
        <v>216</v>
      </c>
      <c r="L189" s="5">
        <v>8</v>
      </c>
      <c r="M189" s="5">
        <v>3</v>
      </c>
      <c r="N189" s="5" t="s">
        <v>3</v>
      </c>
      <c r="O189" s="5">
        <v>2</v>
      </c>
      <c r="P189" s="5">
        <f>ROUND(Source!EH180,O189)</f>
        <v>0</v>
      </c>
      <c r="Q189" s="5"/>
      <c r="R189" s="5"/>
      <c r="S189" s="5"/>
      <c r="T189" s="5"/>
      <c r="U189" s="5"/>
      <c r="V189" s="5"/>
      <c r="W189" s="5"/>
    </row>
    <row r="190" spans="1:206" x14ac:dyDescent="0.2">
      <c r="A190" s="70">
        <v>50</v>
      </c>
      <c r="B190" s="5">
        <v>0</v>
      </c>
      <c r="C190" s="5">
        <v>0</v>
      </c>
      <c r="D190" s="5">
        <v>1</v>
      </c>
      <c r="E190" s="5">
        <v>223</v>
      </c>
      <c r="F190" s="5">
        <f>ROUND(Source!AQ180,O190)</f>
        <v>0</v>
      </c>
      <c r="G190" s="5" t="s">
        <v>54</v>
      </c>
      <c r="H190" s="5" t="s">
        <v>55</v>
      </c>
      <c r="I190" s="5"/>
      <c r="J190" s="5"/>
      <c r="K190" s="5">
        <v>223</v>
      </c>
      <c r="L190" s="5">
        <v>9</v>
      </c>
      <c r="M190" s="5">
        <v>3</v>
      </c>
      <c r="N190" s="5" t="s">
        <v>3</v>
      </c>
      <c r="O190" s="5">
        <v>2</v>
      </c>
      <c r="P190" s="5">
        <f>ROUND(Source!EI180,O190)</f>
        <v>0</v>
      </c>
      <c r="Q190" s="5"/>
      <c r="R190" s="5"/>
      <c r="S190" s="5"/>
      <c r="T190" s="5"/>
      <c r="U190" s="5"/>
      <c r="V190" s="5"/>
      <c r="W190" s="5"/>
    </row>
    <row r="191" spans="1:206" x14ac:dyDescent="0.2">
      <c r="A191" s="70">
        <v>50</v>
      </c>
      <c r="B191" s="5">
        <v>0</v>
      </c>
      <c r="C191" s="5">
        <v>0</v>
      </c>
      <c r="D191" s="5">
        <v>1</v>
      </c>
      <c r="E191" s="5">
        <v>229</v>
      </c>
      <c r="F191" s="5">
        <f>ROUND(Source!AZ180,O191)</f>
        <v>0</v>
      </c>
      <c r="G191" s="5" t="s">
        <v>56</v>
      </c>
      <c r="H191" s="5" t="s">
        <v>57</v>
      </c>
      <c r="I191" s="5"/>
      <c r="J191" s="5"/>
      <c r="K191" s="5">
        <v>229</v>
      </c>
      <c r="L191" s="5">
        <v>10</v>
      </c>
      <c r="M191" s="5">
        <v>3</v>
      </c>
      <c r="N191" s="5" t="s">
        <v>3</v>
      </c>
      <c r="O191" s="5">
        <v>2</v>
      </c>
      <c r="P191" s="5">
        <f>ROUND(Source!ER180,O191)</f>
        <v>0</v>
      </c>
      <c r="Q191" s="5"/>
      <c r="R191" s="5"/>
      <c r="S191" s="5"/>
      <c r="T191" s="5"/>
      <c r="U191" s="5"/>
      <c r="V191" s="5"/>
      <c r="W191" s="5"/>
    </row>
    <row r="192" spans="1:206" x14ac:dyDescent="0.2">
      <c r="A192" s="70">
        <v>50</v>
      </c>
      <c r="B192" s="5">
        <v>0</v>
      </c>
      <c r="C192" s="5">
        <v>0</v>
      </c>
      <c r="D192" s="5">
        <v>1</v>
      </c>
      <c r="E192" s="5">
        <v>203</v>
      </c>
      <c r="F192" s="5">
        <f>ROUND(Source!Q180,O192)</f>
        <v>196.49</v>
      </c>
      <c r="G192" s="5" t="s">
        <v>58</v>
      </c>
      <c r="H192" s="5" t="s">
        <v>59</v>
      </c>
      <c r="I192" s="5"/>
      <c r="J192" s="5"/>
      <c r="K192" s="5">
        <v>203</v>
      </c>
      <c r="L192" s="5">
        <v>11</v>
      </c>
      <c r="M192" s="5">
        <v>3</v>
      </c>
      <c r="N192" s="5" t="s">
        <v>3</v>
      </c>
      <c r="O192" s="5">
        <v>2</v>
      </c>
      <c r="P192" s="5">
        <f>ROUND(Source!DI180,O192)</f>
        <v>1845</v>
      </c>
      <c r="Q192" s="5"/>
      <c r="R192" s="5"/>
      <c r="S192" s="5"/>
      <c r="T192" s="5"/>
      <c r="U192" s="5"/>
      <c r="V192" s="5"/>
      <c r="W192" s="5"/>
    </row>
    <row r="193" spans="1:23" x14ac:dyDescent="0.2">
      <c r="A193" s="70">
        <v>50</v>
      </c>
      <c r="B193" s="5">
        <v>0</v>
      </c>
      <c r="C193" s="5">
        <v>0</v>
      </c>
      <c r="D193" s="5">
        <v>1</v>
      </c>
      <c r="E193" s="5">
        <v>231</v>
      </c>
      <c r="F193" s="5">
        <f>ROUND(Source!BB180,O193)</f>
        <v>0</v>
      </c>
      <c r="G193" s="5" t="s">
        <v>60</v>
      </c>
      <c r="H193" s="5" t="s">
        <v>61</v>
      </c>
      <c r="I193" s="5"/>
      <c r="J193" s="5"/>
      <c r="K193" s="5">
        <v>231</v>
      </c>
      <c r="L193" s="5">
        <v>12</v>
      </c>
      <c r="M193" s="5">
        <v>3</v>
      </c>
      <c r="N193" s="5" t="s">
        <v>3</v>
      </c>
      <c r="O193" s="5">
        <v>2</v>
      </c>
      <c r="P193" s="5">
        <f>ROUND(Source!ET180,O193)</f>
        <v>0</v>
      </c>
      <c r="Q193" s="5"/>
      <c r="R193" s="5"/>
      <c r="S193" s="5"/>
      <c r="T193" s="5"/>
      <c r="U193" s="5"/>
      <c r="V193" s="5"/>
      <c r="W193" s="5"/>
    </row>
    <row r="194" spans="1:23" x14ac:dyDescent="0.2">
      <c r="A194" s="70">
        <v>50</v>
      </c>
      <c r="B194" s="5">
        <v>0</v>
      </c>
      <c r="C194" s="5">
        <v>0</v>
      </c>
      <c r="D194" s="5">
        <v>1</v>
      </c>
      <c r="E194" s="5">
        <v>204</v>
      </c>
      <c r="F194" s="5">
        <f>ROUND(Source!R180,O194)</f>
        <v>44.68</v>
      </c>
      <c r="G194" s="5" t="s">
        <v>62</v>
      </c>
      <c r="H194" s="5" t="s">
        <v>63</v>
      </c>
      <c r="I194" s="5"/>
      <c r="J194" s="5"/>
      <c r="K194" s="5">
        <v>204</v>
      </c>
      <c r="L194" s="5">
        <v>13</v>
      </c>
      <c r="M194" s="5">
        <v>3</v>
      </c>
      <c r="N194" s="5" t="s">
        <v>3</v>
      </c>
      <c r="O194" s="5">
        <v>2</v>
      </c>
      <c r="P194" s="5">
        <f>ROUND(Source!DJ180,O194)</f>
        <v>1350.87</v>
      </c>
      <c r="Q194" s="5"/>
      <c r="R194" s="5"/>
      <c r="S194" s="5"/>
      <c r="T194" s="5"/>
      <c r="U194" s="5"/>
      <c r="V194" s="5"/>
      <c r="W194" s="5"/>
    </row>
    <row r="195" spans="1:23" x14ac:dyDescent="0.2">
      <c r="A195" s="70">
        <v>50</v>
      </c>
      <c r="B195" s="5">
        <v>0</v>
      </c>
      <c r="C195" s="5">
        <v>0</v>
      </c>
      <c r="D195" s="5">
        <v>1</v>
      </c>
      <c r="E195" s="5">
        <v>205</v>
      </c>
      <c r="F195" s="5">
        <f>ROUND(Source!S180,O195)</f>
        <v>15611.76</v>
      </c>
      <c r="G195" s="5" t="s">
        <v>64</v>
      </c>
      <c r="H195" s="5" t="s">
        <v>65</v>
      </c>
      <c r="I195" s="5"/>
      <c r="J195" s="5"/>
      <c r="K195" s="5">
        <v>205</v>
      </c>
      <c r="L195" s="5">
        <v>14</v>
      </c>
      <c r="M195" s="5">
        <v>3</v>
      </c>
      <c r="N195" s="5" t="s">
        <v>3</v>
      </c>
      <c r="O195" s="5">
        <v>2</v>
      </c>
      <c r="P195" s="5">
        <f>ROUND(Source!DK180,O195)</f>
        <v>472099.34</v>
      </c>
      <c r="Q195" s="5"/>
      <c r="R195" s="5"/>
      <c r="S195" s="5"/>
      <c r="T195" s="5"/>
      <c r="U195" s="5"/>
      <c r="V195" s="5"/>
      <c r="W195" s="5"/>
    </row>
    <row r="196" spans="1:23" x14ac:dyDescent="0.2">
      <c r="A196" s="70">
        <v>50</v>
      </c>
      <c r="B196" s="5">
        <v>0</v>
      </c>
      <c r="C196" s="5">
        <v>0</v>
      </c>
      <c r="D196" s="5">
        <v>1</v>
      </c>
      <c r="E196" s="5">
        <v>232</v>
      </c>
      <c r="F196" s="5">
        <f>ROUND(Source!BC180,O196)</f>
        <v>0</v>
      </c>
      <c r="G196" s="5" t="s">
        <v>66</v>
      </c>
      <c r="H196" s="5" t="s">
        <v>67</v>
      </c>
      <c r="I196" s="5"/>
      <c r="J196" s="5"/>
      <c r="K196" s="5">
        <v>232</v>
      </c>
      <c r="L196" s="5">
        <v>15</v>
      </c>
      <c r="M196" s="5">
        <v>3</v>
      </c>
      <c r="N196" s="5" t="s">
        <v>3</v>
      </c>
      <c r="O196" s="5">
        <v>2</v>
      </c>
      <c r="P196" s="5">
        <f>ROUND(Source!EU180,O196)</f>
        <v>0</v>
      </c>
      <c r="Q196" s="5"/>
      <c r="R196" s="5"/>
      <c r="S196" s="5"/>
      <c r="T196" s="5"/>
      <c r="U196" s="5"/>
      <c r="V196" s="5"/>
      <c r="W196" s="5"/>
    </row>
    <row r="197" spans="1:23" x14ac:dyDescent="0.2">
      <c r="A197" s="70">
        <v>50</v>
      </c>
      <c r="B197" s="5">
        <v>0</v>
      </c>
      <c r="C197" s="5">
        <v>0</v>
      </c>
      <c r="D197" s="5">
        <v>1</v>
      </c>
      <c r="E197" s="5">
        <v>214</v>
      </c>
      <c r="F197" s="5">
        <f>ROUND(Source!AS180,O197)</f>
        <v>49508.67</v>
      </c>
      <c r="G197" s="5" t="s">
        <v>68</v>
      </c>
      <c r="H197" s="5" t="s">
        <v>69</v>
      </c>
      <c r="I197" s="5"/>
      <c r="J197" s="5"/>
      <c r="K197" s="5">
        <v>214</v>
      </c>
      <c r="L197" s="5">
        <v>16</v>
      </c>
      <c r="M197" s="5">
        <v>3</v>
      </c>
      <c r="N197" s="5" t="s">
        <v>3</v>
      </c>
      <c r="O197" s="5">
        <v>2</v>
      </c>
      <c r="P197" s="5">
        <f>ROUND(Source!EK180,O197)</f>
        <v>1357043.06</v>
      </c>
      <c r="Q197" s="5"/>
      <c r="R197" s="5"/>
      <c r="S197" s="5"/>
      <c r="T197" s="5"/>
      <c r="U197" s="5"/>
      <c r="V197" s="5"/>
      <c r="W197" s="5"/>
    </row>
    <row r="198" spans="1:23" x14ac:dyDescent="0.2">
      <c r="A198" s="70">
        <v>50</v>
      </c>
      <c r="B198" s="5">
        <v>0</v>
      </c>
      <c r="C198" s="5">
        <v>0</v>
      </c>
      <c r="D198" s="5">
        <v>1</v>
      </c>
      <c r="E198" s="5">
        <v>215</v>
      </c>
      <c r="F198" s="5">
        <f>ROUND(Source!AT180,O198)</f>
        <v>0</v>
      </c>
      <c r="G198" s="5" t="s">
        <v>70</v>
      </c>
      <c r="H198" s="5" t="s">
        <v>71</v>
      </c>
      <c r="I198" s="5"/>
      <c r="J198" s="5"/>
      <c r="K198" s="5">
        <v>215</v>
      </c>
      <c r="L198" s="5">
        <v>17</v>
      </c>
      <c r="M198" s="5">
        <v>3</v>
      </c>
      <c r="N198" s="5" t="s">
        <v>3</v>
      </c>
      <c r="O198" s="5">
        <v>2</v>
      </c>
      <c r="P198" s="5">
        <f>ROUND(Source!EL180,O198)</f>
        <v>0</v>
      </c>
      <c r="Q198" s="5"/>
      <c r="R198" s="5"/>
      <c r="S198" s="5"/>
      <c r="T198" s="5"/>
      <c r="U198" s="5"/>
      <c r="V198" s="5"/>
      <c r="W198" s="5"/>
    </row>
    <row r="199" spans="1:23" x14ac:dyDescent="0.2">
      <c r="A199" s="70">
        <v>50</v>
      </c>
      <c r="B199" s="5">
        <v>0</v>
      </c>
      <c r="C199" s="5">
        <v>0</v>
      </c>
      <c r="D199" s="5">
        <v>1</v>
      </c>
      <c r="E199" s="5">
        <v>217</v>
      </c>
      <c r="F199" s="5">
        <f>ROUND(Source!AU180,O199)</f>
        <v>36882.18</v>
      </c>
      <c r="G199" s="5" t="s">
        <v>72</v>
      </c>
      <c r="H199" s="5" t="s">
        <v>73</v>
      </c>
      <c r="I199" s="5"/>
      <c r="J199" s="5"/>
      <c r="K199" s="5">
        <v>217</v>
      </c>
      <c r="L199" s="5">
        <v>18</v>
      </c>
      <c r="M199" s="5">
        <v>3</v>
      </c>
      <c r="N199" s="5" t="s">
        <v>3</v>
      </c>
      <c r="O199" s="5">
        <v>2</v>
      </c>
      <c r="P199" s="5">
        <f>ROUND(Source!EM180,O199)</f>
        <v>291000.40000000002</v>
      </c>
      <c r="Q199" s="5"/>
      <c r="R199" s="5"/>
      <c r="S199" s="5"/>
      <c r="T199" s="5"/>
      <c r="U199" s="5"/>
      <c r="V199" s="5"/>
      <c r="W199" s="5"/>
    </row>
    <row r="200" spans="1:23" x14ac:dyDescent="0.2">
      <c r="A200" s="70">
        <v>50</v>
      </c>
      <c r="B200" s="5">
        <v>0</v>
      </c>
      <c r="C200" s="5">
        <v>0</v>
      </c>
      <c r="D200" s="5">
        <v>1</v>
      </c>
      <c r="E200" s="5">
        <v>230</v>
      </c>
      <c r="F200" s="5">
        <f>ROUND(Source!BA180,O200)</f>
        <v>0</v>
      </c>
      <c r="G200" s="5" t="s">
        <v>74</v>
      </c>
      <c r="H200" s="5" t="s">
        <v>75</v>
      </c>
      <c r="I200" s="5"/>
      <c r="J200" s="5"/>
      <c r="K200" s="5">
        <v>230</v>
      </c>
      <c r="L200" s="5">
        <v>19</v>
      </c>
      <c r="M200" s="5">
        <v>3</v>
      </c>
      <c r="N200" s="5" t="s">
        <v>3</v>
      </c>
      <c r="O200" s="5">
        <v>2</v>
      </c>
      <c r="P200" s="5">
        <f>ROUND(Source!ES180,O200)</f>
        <v>0</v>
      </c>
      <c r="Q200" s="5"/>
      <c r="R200" s="5"/>
      <c r="S200" s="5"/>
      <c r="T200" s="5"/>
      <c r="U200" s="5"/>
      <c r="V200" s="5"/>
      <c r="W200" s="5"/>
    </row>
    <row r="201" spans="1:23" x14ac:dyDescent="0.2">
      <c r="A201" s="70">
        <v>50</v>
      </c>
      <c r="B201" s="5">
        <v>0</v>
      </c>
      <c r="C201" s="5">
        <v>0</v>
      </c>
      <c r="D201" s="5">
        <v>1</v>
      </c>
      <c r="E201" s="5">
        <v>206</v>
      </c>
      <c r="F201" s="5">
        <f>ROUND(Source!T180,O201)</f>
        <v>0</v>
      </c>
      <c r="G201" s="5" t="s">
        <v>76</v>
      </c>
      <c r="H201" s="5" t="s">
        <v>77</v>
      </c>
      <c r="I201" s="5"/>
      <c r="J201" s="5"/>
      <c r="K201" s="5">
        <v>206</v>
      </c>
      <c r="L201" s="5">
        <v>20</v>
      </c>
      <c r="M201" s="5">
        <v>3</v>
      </c>
      <c r="N201" s="5" t="s">
        <v>3</v>
      </c>
      <c r="O201" s="5">
        <v>2</v>
      </c>
      <c r="P201" s="5">
        <f>ROUND(Source!DL180,O201)</f>
        <v>0</v>
      </c>
      <c r="Q201" s="5"/>
      <c r="R201" s="5"/>
      <c r="S201" s="5"/>
      <c r="T201" s="5"/>
      <c r="U201" s="5"/>
      <c r="V201" s="5"/>
      <c r="W201" s="5"/>
    </row>
    <row r="202" spans="1:23" x14ac:dyDescent="0.2">
      <c r="A202" s="70">
        <v>50</v>
      </c>
      <c r="B202" s="5">
        <v>0</v>
      </c>
      <c r="C202" s="5">
        <v>0</v>
      </c>
      <c r="D202" s="5">
        <v>1</v>
      </c>
      <c r="E202" s="5">
        <v>207</v>
      </c>
      <c r="F202" s="5">
        <f>Source!U180</f>
        <v>1940.9490221599999</v>
      </c>
      <c r="G202" s="5" t="s">
        <v>78</v>
      </c>
      <c r="H202" s="5" t="s">
        <v>79</v>
      </c>
      <c r="I202" s="5"/>
      <c r="J202" s="5"/>
      <c r="K202" s="5">
        <v>207</v>
      </c>
      <c r="L202" s="5">
        <v>21</v>
      </c>
      <c r="M202" s="5">
        <v>3</v>
      </c>
      <c r="N202" s="5" t="s">
        <v>3</v>
      </c>
      <c r="O202" s="5">
        <v>-1</v>
      </c>
      <c r="P202" s="5">
        <f>Source!DM180</f>
        <v>1940.9490221599999</v>
      </c>
      <c r="Q202" s="5"/>
      <c r="R202" s="5"/>
      <c r="S202" s="5"/>
      <c r="T202" s="5"/>
      <c r="U202" s="5"/>
      <c r="V202" s="5"/>
      <c r="W202" s="5"/>
    </row>
    <row r="203" spans="1:23" x14ac:dyDescent="0.2">
      <c r="A203" s="70">
        <v>50</v>
      </c>
      <c r="B203" s="5">
        <v>0</v>
      </c>
      <c r="C203" s="5">
        <v>0</v>
      </c>
      <c r="D203" s="5">
        <v>1</v>
      </c>
      <c r="E203" s="5">
        <v>208</v>
      </c>
      <c r="F203" s="5">
        <f>Source!V180</f>
        <v>3.6644747999999998</v>
      </c>
      <c r="G203" s="5" t="s">
        <v>80</v>
      </c>
      <c r="H203" s="5" t="s">
        <v>81</v>
      </c>
      <c r="I203" s="5"/>
      <c r="J203" s="5"/>
      <c r="K203" s="5">
        <v>208</v>
      </c>
      <c r="L203" s="5">
        <v>22</v>
      </c>
      <c r="M203" s="5">
        <v>3</v>
      </c>
      <c r="N203" s="5" t="s">
        <v>3</v>
      </c>
      <c r="O203" s="5">
        <v>-1</v>
      </c>
      <c r="P203" s="5">
        <f>Source!DN180</f>
        <v>3.6644747999999998</v>
      </c>
      <c r="Q203" s="5"/>
      <c r="R203" s="5"/>
      <c r="S203" s="5"/>
      <c r="T203" s="5"/>
      <c r="U203" s="5"/>
      <c r="V203" s="5"/>
      <c r="W203" s="5"/>
    </row>
    <row r="204" spans="1:23" x14ac:dyDescent="0.2">
      <c r="A204" s="70">
        <v>50</v>
      </c>
      <c r="B204" s="5">
        <v>0</v>
      </c>
      <c r="C204" s="5">
        <v>0</v>
      </c>
      <c r="D204" s="5">
        <v>1</v>
      </c>
      <c r="E204" s="5">
        <v>209</v>
      </c>
      <c r="F204" s="5">
        <f>ROUND(Source!W180,O204)</f>
        <v>0</v>
      </c>
      <c r="G204" s="5" t="s">
        <v>82</v>
      </c>
      <c r="H204" s="5" t="s">
        <v>83</v>
      </c>
      <c r="I204" s="5"/>
      <c r="J204" s="5"/>
      <c r="K204" s="5">
        <v>209</v>
      </c>
      <c r="L204" s="5">
        <v>23</v>
      </c>
      <c r="M204" s="5">
        <v>3</v>
      </c>
      <c r="N204" s="5" t="s">
        <v>3</v>
      </c>
      <c r="O204" s="5">
        <v>2</v>
      </c>
      <c r="P204" s="5">
        <f>ROUND(Source!DO180,O204)</f>
        <v>0</v>
      </c>
      <c r="Q204" s="5"/>
      <c r="R204" s="5"/>
      <c r="S204" s="5"/>
      <c r="T204" s="5"/>
      <c r="U204" s="5"/>
      <c r="V204" s="5"/>
      <c r="W204" s="5"/>
    </row>
    <row r="205" spans="1:23" x14ac:dyDescent="0.2">
      <c r="A205" s="70">
        <v>50</v>
      </c>
      <c r="B205" s="5">
        <v>0</v>
      </c>
      <c r="C205" s="5">
        <v>0</v>
      </c>
      <c r="D205" s="5">
        <v>1</v>
      </c>
      <c r="E205" s="5">
        <v>210</v>
      </c>
      <c r="F205" s="5">
        <f>ROUND(Source!X180,O205)</f>
        <v>16527.740000000002</v>
      </c>
      <c r="G205" s="5" t="s">
        <v>84</v>
      </c>
      <c r="H205" s="5" t="s">
        <v>85</v>
      </c>
      <c r="I205" s="5"/>
      <c r="J205" s="5"/>
      <c r="K205" s="5">
        <v>210</v>
      </c>
      <c r="L205" s="5">
        <v>24</v>
      </c>
      <c r="M205" s="5">
        <v>3</v>
      </c>
      <c r="N205" s="5" t="s">
        <v>3</v>
      </c>
      <c r="O205" s="5">
        <v>2</v>
      </c>
      <c r="P205" s="5">
        <f>ROUND(Source!DP180,O205)</f>
        <v>499798.45</v>
      </c>
      <c r="Q205" s="5"/>
      <c r="R205" s="5"/>
      <c r="S205" s="5"/>
      <c r="T205" s="5"/>
      <c r="U205" s="5"/>
      <c r="V205" s="5"/>
      <c r="W205" s="5"/>
    </row>
    <row r="206" spans="1:23" x14ac:dyDescent="0.2">
      <c r="A206" s="70">
        <v>50</v>
      </c>
      <c r="B206" s="5">
        <v>0</v>
      </c>
      <c r="C206" s="5">
        <v>0</v>
      </c>
      <c r="D206" s="5">
        <v>1</v>
      </c>
      <c r="E206" s="5">
        <v>211</v>
      </c>
      <c r="F206" s="5">
        <f>ROUND(Source!Y180,O206)</f>
        <v>10045.049999999999</v>
      </c>
      <c r="G206" s="5" t="s">
        <v>86</v>
      </c>
      <c r="H206" s="5" t="s">
        <v>87</v>
      </c>
      <c r="I206" s="5"/>
      <c r="J206" s="5"/>
      <c r="K206" s="5">
        <v>211</v>
      </c>
      <c r="L206" s="5">
        <v>25</v>
      </c>
      <c r="M206" s="5">
        <v>3</v>
      </c>
      <c r="N206" s="5" t="s">
        <v>3</v>
      </c>
      <c r="O206" s="5">
        <v>2</v>
      </c>
      <c r="P206" s="5">
        <f>ROUND(Source!DQ180,O206)</f>
        <v>303761.99</v>
      </c>
      <c r="Q206" s="5"/>
      <c r="R206" s="5"/>
      <c r="S206" s="5"/>
      <c r="T206" s="5"/>
      <c r="U206" s="5"/>
      <c r="V206" s="5"/>
      <c r="W206" s="5"/>
    </row>
    <row r="207" spans="1:23" x14ac:dyDescent="0.2">
      <c r="A207" s="70">
        <v>50</v>
      </c>
      <c r="B207" s="5">
        <v>0</v>
      </c>
      <c r="C207" s="5">
        <v>0</v>
      </c>
      <c r="D207" s="5">
        <v>1</v>
      </c>
      <c r="E207" s="5">
        <v>224</v>
      </c>
      <c r="F207" s="5">
        <f>ROUND(Source!AR180,O207)</f>
        <v>86390.85</v>
      </c>
      <c r="G207" s="5" t="s">
        <v>88</v>
      </c>
      <c r="H207" s="5" t="s">
        <v>89</v>
      </c>
      <c r="I207" s="5"/>
      <c r="J207" s="5"/>
      <c r="K207" s="5">
        <v>224</v>
      </c>
      <c r="L207" s="5">
        <v>26</v>
      </c>
      <c r="M207" s="5">
        <v>3</v>
      </c>
      <c r="N207" s="5" t="s">
        <v>3</v>
      </c>
      <c r="O207" s="5">
        <v>2</v>
      </c>
      <c r="P207" s="5">
        <f>ROUND(Source!EJ180,O207)</f>
        <v>1648043.46</v>
      </c>
      <c r="Q207" s="5"/>
      <c r="R207" s="5"/>
      <c r="S207" s="5"/>
      <c r="T207" s="5"/>
      <c r="U207" s="5"/>
      <c r="V207" s="5"/>
      <c r="W207" s="5"/>
    </row>
    <row r="208" spans="1:23" x14ac:dyDescent="0.2">
      <c r="A208" s="70">
        <v>50</v>
      </c>
      <c r="B208" s="5">
        <v>1</v>
      </c>
      <c r="C208" s="5">
        <v>0</v>
      </c>
      <c r="D208" s="5">
        <v>2</v>
      </c>
      <c r="E208" s="5">
        <v>0</v>
      </c>
      <c r="F208" s="5">
        <f>ROUND(F207,O208)</f>
        <v>86390.85</v>
      </c>
      <c r="G208" s="5" t="s">
        <v>118</v>
      </c>
      <c r="H208" s="5" t="s">
        <v>118</v>
      </c>
      <c r="I208" s="5"/>
      <c r="J208" s="5"/>
      <c r="K208" s="5">
        <v>212</v>
      </c>
      <c r="L208" s="5">
        <v>27</v>
      </c>
      <c r="M208" s="5">
        <v>0</v>
      </c>
      <c r="N208" s="5" t="s">
        <v>3</v>
      </c>
      <c r="O208" s="5">
        <v>2</v>
      </c>
      <c r="P208" s="5">
        <f>ROUND(P207,O208)</f>
        <v>1648043.46</v>
      </c>
      <c r="Q208" s="5"/>
      <c r="R208" s="5"/>
      <c r="S208" s="5"/>
      <c r="T208" s="5"/>
      <c r="U208" s="5"/>
      <c r="V208" s="5"/>
      <c r="W208" s="5"/>
    </row>
    <row r="209" spans="1:23" x14ac:dyDescent="0.2">
      <c r="A209" s="70">
        <v>50</v>
      </c>
      <c r="B209" s="5">
        <v>0</v>
      </c>
      <c r="C209" s="5">
        <v>0</v>
      </c>
      <c r="D209" s="5">
        <v>2</v>
      </c>
      <c r="E209" s="5">
        <v>0</v>
      </c>
      <c r="F209" s="5">
        <f>ROUND(F189,O209)</f>
        <v>0</v>
      </c>
      <c r="G209" s="5" t="s">
        <v>119</v>
      </c>
      <c r="H209" s="5" t="s">
        <v>120</v>
      </c>
      <c r="I209" s="5"/>
      <c r="J209" s="5"/>
      <c r="K209" s="5">
        <v>212</v>
      </c>
      <c r="L209" s="5">
        <v>28</v>
      </c>
      <c r="M209" s="5">
        <v>1</v>
      </c>
      <c r="N209" s="5" t="s">
        <v>3</v>
      </c>
      <c r="O209" s="5">
        <v>2</v>
      </c>
      <c r="P209" s="5">
        <f>ROUND(P189,O209)</f>
        <v>0</v>
      </c>
      <c r="Q209" s="5"/>
      <c r="R209" s="5"/>
      <c r="S209" s="5"/>
      <c r="T209" s="5"/>
      <c r="U209" s="5"/>
      <c r="V209" s="5"/>
      <c r="W209" s="5"/>
    </row>
    <row r="210" spans="1:23" x14ac:dyDescent="0.2">
      <c r="A210" s="70">
        <v>50</v>
      </c>
      <c r="B210" s="5">
        <v>1</v>
      </c>
      <c r="C210" s="5">
        <v>0</v>
      </c>
      <c r="D210" s="5">
        <v>2</v>
      </c>
      <c r="E210" s="5">
        <v>0</v>
      </c>
      <c r="F210" s="5">
        <f>ROUND(F199,O210)</f>
        <v>36882.18</v>
      </c>
      <c r="G210" s="5" t="s">
        <v>121</v>
      </c>
      <c r="H210" s="5" t="s">
        <v>122</v>
      </c>
      <c r="I210" s="5"/>
      <c r="J210" s="5"/>
      <c r="K210" s="5">
        <v>212</v>
      </c>
      <c r="L210" s="5">
        <v>29</v>
      </c>
      <c r="M210" s="5">
        <v>1</v>
      </c>
      <c r="N210" s="5" t="s">
        <v>3</v>
      </c>
      <c r="O210" s="5">
        <v>2</v>
      </c>
      <c r="P210" s="5">
        <f>ROUND(P199,O210)</f>
        <v>291000.40000000002</v>
      </c>
      <c r="Q210" s="5"/>
      <c r="R210" s="5"/>
      <c r="S210" s="5"/>
      <c r="T210" s="5"/>
      <c r="U210" s="5"/>
      <c r="V210" s="5"/>
      <c r="W210" s="5"/>
    </row>
    <row r="211" spans="1:23" x14ac:dyDescent="0.2">
      <c r="A211" s="70">
        <v>50</v>
      </c>
      <c r="B211" s="5">
        <v>1</v>
      </c>
      <c r="C211" s="5">
        <v>0</v>
      </c>
      <c r="D211" s="5">
        <v>2</v>
      </c>
      <c r="E211" s="5">
        <v>0</v>
      </c>
      <c r="F211" s="5">
        <f>ROUND(F208,O211)</f>
        <v>86390.85</v>
      </c>
      <c r="G211" s="5" t="s">
        <v>125</v>
      </c>
      <c r="H211" s="5" t="s">
        <v>118</v>
      </c>
      <c r="I211" s="5"/>
      <c r="J211" s="5"/>
      <c r="K211" s="5">
        <v>212</v>
      </c>
      <c r="L211" s="5">
        <v>30</v>
      </c>
      <c r="M211" s="5">
        <v>0</v>
      </c>
      <c r="N211" s="5" t="s">
        <v>3</v>
      </c>
      <c r="O211" s="5">
        <v>2</v>
      </c>
      <c r="P211" s="5">
        <f>ROUND(P208,O211)</f>
        <v>1648043.46</v>
      </c>
      <c r="Q211" s="5"/>
      <c r="R211" s="5"/>
      <c r="S211" s="5"/>
      <c r="T211" s="5"/>
      <c r="U211" s="5"/>
      <c r="V211" s="5"/>
      <c r="W211" s="5"/>
    </row>
    <row r="212" spans="1:23" x14ac:dyDescent="0.2">
      <c r="A212" s="70">
        <v>50</v>
      </c>
      <c r="B212" s="5">
        <v>1</v>
      </c>
      <c r="C212" s="5">
        <v>0</v>
      </c>
      <c r="D212" s="5">
        <v>2</v>
      </c>
      <c r="E212" s="5">
        <v>0</v>
      </c>
      <c r="F212" s="5">
        <f>ROUND(F211*0.2,O212)</f>
        <v>17278.169999999998</v>
      </c>
      <c r="G212" s="5" t="s">
        <v>127</v>
      </c>
      <c r="H212" s="5" t="s">
        <v>128</v>
      </c>
      <c r="I212" s="5"/>
      <c r="J212" s="5"/>
      <c r="K212" s="5">
        <v>212</v>
      </c>
      <c r="L212" s="5">
        <v>31</v>
      </c>
      <c r="M212" s="5">
        <v>0</v>
      </c>
      <c r="N212" s="5" t="s">
        <v>3</v>
      </c>
      <c r="O212" s="5">
        <v>2</v>
      </c>
      <c r="P212" s="5">
        <f>ROUND(P211*0.2,O212)</f>
        <v>329608.69</v>
      </c>
      <c r="Q212" s="5"/>
      <c r="R212" s="5"/>
      <c r="S212" s="5"/>
      <c r="T212" s="5"/>
      <c r="U212" s="5"/>
      <c r="V212" s="5"/>
      <c r="W212" s="5"/>
    </row>
    <row r="213" spans="1:23" x14ac:dyDescent="0.2">
      <c r="A213" s="70">
        <v>50</v>
      </c>
      <c r="B213" s="5">
        <v>1</v>
      </c>
      <c r="C213" s="5">
        <v>0</v>
      </c>
      <c r="D213" s="5">
        <v>2</v>
      </c>
      <c r="E213" s="5">
        <v>0</v>
      </c>
      <c r="F213" s="5">
        <f>ROUND(F211+F212,O213)</f>
        <v>103669.02</v>
      </c>
      <c r="G213" s="5" t="s">
        <v>129</v>
      </c>
      <c r="H213" s="5" t="s">
        <v>130</v>
      </c>
      <c r="I213" s="5"/>
      <c r="J213" s="5"/>
      <c r="K213" s="5">
        <v>212</v>
      </c>
      <c r="L213" s="5">
        <v>32</v>
      </c>
      <c r="M213" s="5">
        <v>0</v>
      </c>
      <c r="N213" s="5" t="s">
        <v>3</v>
      </c>
      <c r="O213" s="5">
        <v>2</v>
      </c>
      <c r="P213" s="5">
        <f>ROUND(P211+P212,O213)</f>
        <v>1977652.15</v>
      </c>
      <c r="Q213" s="5"/>
      <c r="R213" s="5"/>
      <c r="S213" s="5"/>
      <c r="T213" s="5"/>
      <c r="U213" s="5"/>
      <c r="V213" s="5"/>
      <c r="W213" s="5"/>
    </row>
    <row r="216" spans="1:23" x14ac:dyDescent="0.2">
      <c r="A216" s="66">
        <v>70</v>
      </c>
      <c r="B216">
        <v>1</v>
      </c>
      <c r="D216">
        <v>1</v>
      </c>
      <c r="E216" t="s">
        <v>131</v>
      </c>
      <c r="F216" t="s">
        <v>132</v>
      </c>
      <c r="G216">
        <v>1</v>
      </c>
      <c r="H216">
        <v>0</v>
      </c>
      <c r="I216" t="s">
        <v>3</v>
      </c>
      <c r="J216">
        <v>1</v>
      </c>
      <c r="K216">
        <v>0</v>
      </c>
      <c r="L216" t="s">
        <v>3</v>
      </c>
      <c r="M216" t="s">
        <v>3</v>
      </c>
      <c r="N216">
        <v>0</v>
      </c>
      <c r="O216">
        <v>1</v>
      </c>
    </row>
    <row r="217" spans="1:23" x14ac:dyDescent="0.2">
      <c r="A217" s="66">
        <v>70</v>
      </c>
      <c r="B217">
        <v>1</v>
      </c>
      <c r="D217">
        <v>2</v>
      </c>
      <c r="E217" t="s">
        <v>133</v>
      </c>
      <c r="F217" t="s">
        <v>134</v>
      </c>
      <c r="G217">
        <v>0</v>
      </c>
      <c r="H217">
        <v>0</v>
      </c>
      <c r="I217" t="s">
        <v>3</v>
      </c>
      <c r="J217">
        <v>1</v>
      </c>
      <c r="K217">
        <v>0</v>
      </c>
      <c r="L217" t="s">
        <v>3</v>
      </c>
      <c r="M217" t="s">
        <v>3</v>
      </c>
      <c r="N217">
        <v>0</v>
      </c>
      <c r="O217">
        <v>0</v>
      </c>
    </row>
    <row r="218" spans="1:23" x14ac:dyDescent="0.2">
      <c r="A218" s="66">
        <v>70</v>
      </c>
      <c r="B218">
        <v>1</v>
      </c>
      <c r="D218">
        <v>3</v>
      </c>
      <c r="E218" t="s">
        <v>135</v>
      </c>
      <c r="F218" t="s">
        <v>136</v>
      </c>
      <c r="G218">
        <v>0</v>
      </c>
      <c r="H218">
        <v>0</v>
      </c>
      <c r="I218" t="s">
        <v>3</v>
      </c>
      <c r="J218">
        <v>1</v>
      </c>
      <c r="K218">
        <v>0</v>
      </c>
      <c r="L218" t="s">
        <v>3</v>
      </c>
      <c r="M218" t="s">
        <v>3</v>
      </c>
      <c r="N218">
        <v>0</v>
      </c>
      <c r="O218">
        <v>0</v>
      </c>
    </row>
    <row r="219" spans="1:23" x14ac:dyDescent="0.2">
      <c r="A219" s="66">
        <v>70</v>
      </c>
      <c r="B219">
        <v>1</v>
      </c>
      <c r="D219">
        <v>4</v>
      </c>
      <c r="E219" t="s">
        <v>137</v>
      </c>
      <c r="F219" t="s">
        <v>138</v>
      </c>
      <c r="G219">
        <v>0</v>
      </c>
      <c r="H219">
        <v>0</v>
      </c>
      <c r="I219" t="s">
        <v>139</v>
      </c>
      <c r="J219">
        <v>0</v>
      </c>
      <c r="K219">
        <v>0</v>
      </c>
      <c r="L219" t="s">
        <v>3</v>
      </c>
      <c r="M219" t="s">
        <v>3</v>
      </c>
      <c r="N219">
        <v>0</v>
      </c>
      <c r="O219">
        <v>0</v>
      </c>
    </row>
    <row r="220" spans="1:23" x14ac:dyDescent="0.2">
      <c r="A220" s="66">
        <v>70</v>
      </c>
      <c r="B220">
        <v>1</v>
      </c>
      <c r="D220">
        <v>5</v>
      </c>
      <c r="E220" t="s">
        <v>140</v>
      </c>
      <c r="F220" t="s">
        <v>141</v>
      </c>
      <c r="G220">
        <v>0</v>
      </c>
      <c r="H220">
        <v>0</v>
      </c>
      <c r="I220" t="s">
        <v>142</v>
      </c>
      <c r="J220">
        <v>0</v>
      </c>
      <c r="K220">
        <v>0</v>
      </c>
      <c r="L220" t="s">
        <v>3</v>
      </c>
      <c r="M220" t="s">
        <v>3</v>
      </c>
      <c r="N220">
        <v>0</v>
      </c>
      <c r="O220">
        <v>0</v>
      </c>
    </row>
    <row r="221" spans="1:23" x14ac:dyDescent="0.2">
      <c r="A221" s="66">
        <v>70</v>
      </c>
      <c r="B221">
        <v>1</v>
      </c>
      <c r="D221">
        <v>6</v>
      </c>
      <c r="E221" t="s">
        <v>143</v>
      </c>
      <c r="F221" t="s">
        <v>144</v>
      </c>
      <c r="G221">
        <v>0</v>
      </c>
      <c r="H221">
        <v>0</v>
      </c>
      <c r="I221" t="s">
        <v>145</v>
      </c>
      <c r="J221">
        <v>0</v>
      </c>
      <c r="K221">
        <v>0</v>
      </c>
      <c r="L221" t="s">
        <v>3</v>
      </c>
      <c r="M221" t="s">
        <v>3</v>
      </c>
      <c r="N221">
        <v>0</v>
      </c>
      <c r="O221">
        <v>0</v>
      </c>
    </row>
    <row r="222" spans="1:23" x14ac:dyDescent="0.2">
      <c r="A222" s="66">
        <v>70</v>
      </c>
      <c r="B222">
        <v>1</v>
      </c>
      <c r="D222">
        <v>7</v>
      </c>
      <c r="E222" t="s">
        <v>146</v>
      </c>
      <c r="F222" t="s">
        <v>147</v>
      </c>
      <c r="G222">
        <v>1</v>
      </c>
      <c r="H222">
        <v>0</v>
      </c>
      <c r="I222" t="s">
        <v>3</v>
      </c>
      <c r="J222">
        <v>0</v>
      </c>
      <c r="K222">
        <v>0</v>
      </c>
      <c r="L222" t="s">
        <v>3</v>
      </c>
      <c r="M222" t="s">
        <v>3</v>
      </c>
      <c r="N222">
        <v>0</v>
      </c>
      <c r="O222">
        <v>1</v>
      </c>
    </row>
    <row r="223" spans="1:23" x14ac:dyDescent="0.2">
      <c r="A223" s="66">
        <v>70</v>
      </c>
      <c r="B223">
        <v>1</v>
      </c>
      <c r="D223">
        <v>8</v>
      </c>
      <c r="E223" t="s">
        <v>148</v>
      </c>
      <c r="F223" t="s">
        <v>149</v>
      </c>
      <c r="G223">
        <v>0</v>
      </c>
      <c r="H223">
        <v>0</v>
      </c>
      <c r="I223" t="s">
        <v>150</v>
      </c>
      <c r="J223">
        <v>0</v>
      </c>
      <c r="K223">
        <v>0</v>
      </c>
      <c r="L223" t="s">
        <v>3</v>
      </c>
      <c r="M223" t="s">
        <v>3</v>
      </c>
      <c r="N223">
        <v>0</v>
      </c>
      <c r="O223">
        <v>0</v>
      </c>
    </row>
    <row r="224" spans="1:23" x14ac:dyDescent="0.2">
      <c r="A224" s="66">
        <v>70</v>
      </c>
      <c r="B224">
        <v>1</v>
      </c>
      <c r="D224">
        <v>9</v>
      </c>
      <c r="E224" t="s">
        <v>151</v>
      </c>
      <c r="F224" t="s">
        <v>152</v>
      </c>
      <c r="G224">
        <v>0</v>
      </c>
      <c r="H224">
        <v>0</v>
      </c>
      <c r="I224" t="s">
        <v>153</v>
      </c>
      <c r="J224">
        <v>0</v>
      </c>
      <c r="K224">
        <v>0</v>
      </c>
      <c r="L224" t="s">
        <v>3</v>
      </c>
      <c r="M224" t="s">
        <v>3</v>
      </c>
      <c r="N224">
        <v>0</v>
      </c>
      <c r="O224">
        <v>0</v>
      </c>
    </row>
    <row r="225" spans="1:15" x14ac:dyDescent="0.2">
      <c r="A225" s="66">
        <v>70</v>
      </c>
      <c r="B225">
        <v>1</v>
      </c>
      <c r="D225">
        <v>10</v>
      </c>
      <c r="E225" t="s">
        <v>154</v>
      </c>
      <c r="F225" t="s">
        <v>155</v>
      </c>
      <c r="G225">
        <v>0</v>
      </c>
      <c r="H225">
        <v>0</v>
      </c>
      <c r="I225" t="s">
        <v>156</v>
      </c>
      <c r="J225">
        <v>0</v>
      </c>
      <c r="K225">
        <v>0</v>
      </c>
      <c r="L225" t="s">
        <v>3</v>
      </c>
      <c r="M225" t="s">
        <v>3</v>
      </c>
      <c r="N225">
        <v>0</v>
      </c>
      <c r="O225">
        <v>0</v>
      </c>
    </row>
    <row r="226" spans="1:15" x14ac:dyDescent="0.2">
      <c r="A226" s="66">
        <v>70</v>
      </c>
      <c r="B226">
        <v>1</v>
      </c>
      <c r="D226">
        <v>11</v>
      </c>
      <c r="E226" t="s">
        <v>157</v>
      </c>
      <c r="F226" t="s">
        <v>158</v>
      </c>
      <c r="G226">
        <v>0</v>
      </c>
      <c r="H226">
        <v>0</v>
      </c>
      <c r="I226" t="s">
        <v>159</v>
      </c>
      <c r="J226">
        <v>0</v>
      </c>
      <c r="K226">
        <v>0</v>
      </c>
      <c r="L226" t="s">
        <v>3</v>
      </c>
      <c r="M226" t="s">
        <v>3</v>
      </c>
      <c r="N226">
        <v>0</v>
      </c>
      <c r="O226">
        <v>0</v>
      </c>
    </row>
    <row r="227" spans="1:15" x14ac:dyDescent="0.2">
      <c r="A227" s="66">
        <v>70</v>
      </c>
      <c r="B227">
        <v>1</v>
      </c>
      <c r="D227">
        <v>12</v>
      </c>
      <c r="E227" t="s">
        <v>160</v>
      </c>
      <c r="F227" t="s">
        <v>161</v>
      </c>
      <c r="G227">
        <v>0</v>
      </c>
      <c r="H227">
        <v>0</v>
      </c>
      <c r="I227" t="s">
        <v>3</v>
      </c>
      <c r="J227">
        <v>0</v>
      </c>
      <c r="K227">
        <v>0</v>
      </c>
      <c r="L227" t="s">
        <v>3</v>
      </c>
      <c r="M227" t="s">
        <v>3</v>
      </c>
      <c r="N227">
        <v>0</v>
      </c>
      <c r="O227">
        <v>0</v>
      </c>
    </row>
    <row r="228" spans="1:15" x14ac:dyDescent="0.2">
      <c r="A228" s="66">
        <v>70</v>
      </c>
      <c r="B228">
        <v>1</v>
      </c>
      <c r="D228">
        <v>1</v>
      </c>
      <c r="E228" t="s">
        <v>162</v>
      </c>
      <c r="F228" t="s">
        <v>163</v>
      </c>
      <c r="G228">
        <v>0.9</v>
      </c>
      <c r="H228">
        <v>1</v>
      </c>
      <c r="I228" t="s">
        <v>164</v>
      </c>
      <c r="J228">
        <v>0</v>
      </c>
      <c r="K228">
        <v>0</v>
      </c>
      <c r="L228" t="s">
        <v>3</v>
      </c>
      <c r="M228" t="s">
        <v>3</v>
      </c>
      <c r="N228">
        <v>0</v>
      </c>
      <c r="O228">
        <v>0.9</v>
      </c>
    </row>
    <row r="229" spans="1:15" x14ac:dyDescent="0.2">
      <c r="A229" s="66">
        <v>70</v>
      </c>
      <c r="B229">
        <v>1</v>
      </c>
      <c r="D229">
        <v>2</v>
      </c>
      <c r="E229" t="s">
        <v>165</v>
      </c>
      <c r="F229" t="s">
        <v>166</v>
      </c>
      <c r="G229">
        <v>0.85</v>
      </c>
      <c r="H229">
        <v>1</v>
      </c>
      <c r="I229" t="s">
        <v>167</v>
      </c>
      <c r="J229">
        <v>0</v>
      </c>
      <c r="K229">
        <v>0</v>
      </c>
      <c r="L229" t="s">
        <v>3</v>
      </c>
      <c r="M229" t="s">
        <v>3</v>
      </c>
      <c r="N229">
        <v>0</v>
      </c>
      <c r="O229">
        <v>0.85</v>
      </c>
    </row>
    <row r="230" spans="1:15" x14ac:dyDescent="0.2">
      <c r="A230" s="66">
        <v>70</v>
      </c>
      <c r="B230">
        <v>1</v>
      </c>
      <c r="D230">
        <v>3</v>
      </c>
      <c r="E230" t="s">
        <v>168</v>
      </c>
      <c r="F230" t="s">
        <v>169</v>
      </c>
      <c r="G230">
        <v>1</v>
      </c>
      <c r="H230">
        <v>0.85</v>
      </c>
      <c r="I230" t="s">
        <v>170</v>
      </c>
      <c r="J230">
        <v>0</v>
      </c>
      <c r="K230">
        <v>0</v>
      </c>
      <c r="L230" t="s">
        <v>3</v>
      </c>
      <c r="M230" t="s">
        <v>3</v>
      </c>
      <c r="N230">
        <v>0</v>
      </c>
      <c r="O230">
        <v>1</v>
      </c>
    </row>
    <row r="231" spans="1:15" x14ac:dyDescent="0.2">
      <c r="A231" s="66">
        <v>70</v>
      </c>
      <c r="B231">
        <v>1</v>
      </c>
      <c r="D231">
        <v>4</v>
      </c>
      <c r="E231" t="s">
        <v>171</v>
      </c>
      <c r="F231" t="s">
        <v>172</v>
      </c>
      <c r="G231">
        <v>1</v>
      </c>
      <c r="H231">
        <v>0</v>
      </c>
      <c r="I231" t="s">
        <v>3</v>
      </c>
      <c r="J231">
        <v>0</v>
      </c>
      <c r="K231">
        <v>0</v>
      </c>
      <c r="L231" t="s">
        <v>3</v>
      </c>
      <c r="M231" t="s">
        <v>3</v>
      </c>
      <c r="N231">
        <v>0</v>
      </c>
      <c r="O231">
        <v>1</v>
      </c>
    </row>
    <row r="232" spans="1:15" x14ac:dyDescent="0.2">
      <c r="A232" s="66">
        <v>70</v>
      </c>
      <c r="B232">
        <v>1</v>
      </c>
      <c r="D232">
        <v>5</v>
      </c>
      <c r="E232" t="s">
        <v>173</v>
      </c>
      <c r="F232" t="s">
        <v>174</v>
      </c>
      <c r="G232">
        <v>1</v>
      </c>
      <c r="H232">
        <v>0.8</v>
      </c>
      <c r="I232" t="s">
        <v>175</v>
      </c>
      <c r="J232">
        <v>0</v>
      </c>
      <c r="K232">
        <v>0</v>
      </c>
      <c r="L232" t="s">
        <v>3</v>
      </c>
      <c r="M232" t="s">
        <v>3</v>
      </c>
      <c r="N232">
        <v>0</v>
      </c>
      <c r="O232">
        <v>1</v>
      </c>
    </row>
    <row r="233" spans="1:15" x14ac:dyDescent="0.2">
      <c r="A233" s="66">
        <v>70</v>
      </c>
      <c r="B233">
        <v>1</v>
      </c>
      <c r="D233">
        <v>6</v>
      </c>
      <c r="E233" t="s">
        <v>176</v>
      </c>
      <c r="F233" t="s">
        <v>177</v>
      </c>
      <c r="G233">
        <v>1</v>
      </c>
      <c r="H233">
        <v>0</v>
      </c>
      <c r="I233" t="s">
        <v>3</v>
      </c>
      <c r="J233">
        <v>0</v>
      </c>
      <c r="K233">
        <v>0</v>
      </c>
      <c r="L233" t="s">
        <v>3</v>
      </c>
      <c r="M233" t="s">
        <v>3</v>
      </c>
      <c r="N233">
        <v>0</v>
      </c>
      <c r="O233">
        <v>0.85</v>
      </c>
    </row>
    <row r="234" spans="1:15" x14ac:dyDescent="0.2">
      <c r="A234" s="66">
        <v>70</v>
      </c>
      <c r="B234">
        <v>1</v>
      </c>
      <c r="D234">
        <v>7</v>
      </c>
      <c r="E234" t="s">
        <v>178</v>
      </c>
      <c r="F234" t="s">
        <v>179</v>
      </c>
      <c r="G234">
        <v>1</v>
      </c>
      <c r="H234">
        <v>0</v>
      </c>
      <c r="I234" t="s">
        <v>3</v>
      </c>
      <c r="J234">
        <v>0</v>
      </c>
      <c r="K234">
        <v>0</v>
      </c>
      <c r="L234" t="s">
        <v>3</v>
      </c>
      <c r="M234" t="s">
        <v>3</v>
      </c>
      <c r="N234">
        <v>0</v>
      </c>
      <c r="O234">
        <v>0.8</v>
      </c>
    </row>
    <row r="235" spans="1:15" x14ac:dyDescent="0.2">
      <c r="A235" s="66">
        <v>70</v>
      </c>
      <c r="B235">
        <v>1</v>
      </c>
      <c r="D235">
        <v>8</v>
      </c>
      <c r="E235" t="s">
        <v>180</v>
      </c>
      <c r="F235" t="s">
        <v>181</v>
      </c>
      <c r="G235">
        <v>0.7</v>
      </c>
      <c r="H235">
        <v>0</v>
      </c>
      <c r="I235" t="s">
        <v>3</v>
      </c>
      <c r="J235">
        <v>0</v>
      </c>
      <c r="K235">
        <v>0</v>
      </c>
      <c r="L235" t="s">
        <v>3</v>
      </c>
      <c r="M235" t="s">
        <v>3</v>
      </c>
      <c r="N235">
        <v>0</v>
      </c>
      <c r="O235">
        <v>0.7</v>
      </c>
    </row>
    <row r="236" spans="1:15" x14ac:dyDescent="0.2">
      <c r="A236" s="66">
        <v>70</v>
      </c>
      <c r="B236">
        <v>1</v>
      </c>
      <c r="D236">
        <v>9</v>
      </c>
      <c r="E236" t="s">
        <v>182</v>
      </c>
      <c r="F236" t="s">
        <v>183</v>
      </c>
      <c r="G236">
        <v>0.9</v>
      </c>
      <c r="H236">
        <v>0</v>
      </c>
      <c r="I236" t="s">
        <v>3</v>
      </c>
      <c r="J236">
        <v>0</v>
      </c>
      <c r="K236">
        <v>0</v>
      </c>
      <c r="L236" t="s">
        <v>3</v>
      </c>
      <c r="M236" t="s">
        <v>3</v>
      </c>
      <c r="N236">
        <v>0</v>
      </c>
      <c r="O236">
        <v>0.9</v>
      </c>
    </row>
    <row r="237" spans="1:15" x14ac:dyDescent="0.2">
      <c r="A237" s="66">
        <v>70</v>
      </c>
      <c r="B237">
        <v>1</v>
      </c>
      <c r="D237">
        <v>10</v>
      </c>
      <c r="E237" t="s">
        <v>184</v>
      </c>
      <c r="F237" t="s">
        <v>185</v>
      </c>
      <c r="G237">
        <v>0.6</v>
      </c>
      <c r="H237">
        <v>0</v>
      </c>
      <c r="I237" t="s">
        <v>3</v>
      </c>
      <c r="J237">
        <v>0</v>
      </c>
      <c r="K237">
        <v>0</v>
      </c>
      <c r="L237" t="s">
        <v>3</v>
      </c>
      <c r="M237" t="s">
        <v>3</v>
      </c>
      <c r="N237">
        <v>0</v>
      </c>
      <c r="O237">
        <v>0.6</v>
      </c>
    </row>
    <row r="238" spans="1:15" x14ac:dyDescent="0.2">
      <c r="A238" s="66">
        <v>70</v>
      </c>
      <c r="B238">
        <v>1</v>
      </c>
      <c r="D238">
        <v>11</v>
      </c>
      <c r="E238" t="s">
        <v>186</v>
      </c>
      <c r="F238" t="s">
        <v>187</v>
      </c>
      <c r="G238">
        <v>1.2</v>
      </c>
      <c r="H238">
        <v>0</v>
      </c>
      <c r="I238" t="s">
        <v>3</v>
      </c>
      <c r="J238">
        <v>0</v>
      </c>
      <c r="K238">
        <v>0</v>
      </c>
      <c r="L238" t="s">
        <v>3</v>
      </c>
      <c r="M238" t="s">
        <v>3</v>
      </c>
      <c r="N238">
        <v>0</v>
      </c>
      <c r="O238">
        <v>1.2</v>
      </c>
    </row>
    <row r="239" spans="1:15" x14ac:dyDescent="0.2">
      <c r="A239" s="66">
        <v>70</v>
      </c>
      <c r="B239">
        <v>1</v>
      </c>
      <c r="D239">
        <v>12</v>
      </c>
      <c r="E239" t="s">
        <v>188</v>
      </c>
      <c r="F239" t="s">
        <v>189</v>
      </c>
      <c r="G239">
        <v>0</v>
      </c>
      <c r="H239">
        <v>0</v>
      </c>
      <c r="I239" t="s">
        <v>3</v>
      </c>
      <c r="J239">
        <v>0</v>
      </c>
      <c r="K239">
        <v>0</v>
      </c>
      <c r="L239" t="s">
        <v>3</v>
      </c>
      <c r="M239" t="s">
        <v>3</v>
      </c>
      <c r="N239">
        <v>0</v>
      </c>
      <c r="O239">
        <v>0</v>
      </c>
    </row>
    <row r="240" spans="1:15" x14ac:dyDescent="0.2">
      <c r="A240" s="66">
        <v>70</v>
      </c>
      <c r="B240">
        <v>1</v>
      </c>
      <c r="D240">
        <v>13</v>
      </c>
      <c r="E240" t="s">
        <v>190</v>
      </c>
      <c r="F240" t="s">
        <v>191</v>
      </c>
      <c r="G240">
        <v>1</v>
      </c>
      <c r="H240">
        <v>0</v>
      </c>
      <c r="I240" t="s">
        <v>3</v>
      </c>
      <c r="J240">
        <v>0</v>
      </c>
      <c r="K240">
        <v>0</v>
      </c>
      <c r="L240" t="s">
        <v>3</v>
      </c>
      <c r="M240" t="s">
        <v>3</v>
      </c>
      <c r="N240">
        <v>0</v>
      </c>
      <c r="O240">
        <v>1</v>
      </c>
    </row>
    <row r="242" spans="1:27" x14ac:dyDescent="0.2">
      <c r="A242" s="66">
        <v>-1</v>
      </c>
    </row>
    <row r="244" spans="1:27" x14ac:dyDescent="0.2">
      <c r="A244" s="71">
        <v>75</v>
      </c>
      <c r="B244" s="4" t="s">
        <v>192</v>
      </c>
      <c r="C244" s="4">
        <v>2019</v>
      </c>
      <c r="D244" s="4">
        <v>0</v>
      </c>
      <c r="E244" s="4">
        <v>7</v>
      </c>
      <c r="F244" s="4">
        <v>0</v>
      </c>
      <c r="G244" s="4">
        <v>0</v>
      </c>
      <c r="H244" s="4">
        <v>1</v>
      </c>
      <c r="I244" s="4">
        <v>0</v>
      </c>
      <c r="J244" s="4">
        <v>3</v>
      </c>
      <c r="K244" s="4">
        <v>0</v>
      </c>
      <c r="L244" s="4">
        <v>0</v>
      </c>
      <c r="M244" s="4">
        <v>1</v>
      </c>
      <c r="N244" s="4">
        <v>49290730</v>
      </c>
      <c r="O244" s="4">
        <v>1</v>
      </c>
    </row>
    <row r="245" spans="1:27" x14ac:dyDescent="0.2">
      <c r="A245" s="72">
        <v>1</v>
      </c>
      <c r="B245" s="6" t="s">
        <v>193</v>
      </c>
      <c r="C245" s="6" t="s">
        <v>194</v>
      </c>
      <c r="D245" s="6">
        <v>2019</v>
      </c>
      <c r="E245" s="6">
        <v>7</v>
      </c>
      <c r="F245" s="6">
        <v>1</v>
      </c>
      <c r="G245" s="6">
        <v>1</v>
      </c>
      <c r="H245" s="6">
        <v>0</v>
      </c>
      <c r="I245" s="6">
        <v>2</v>
      </c>
      <c r="J245" s="6">
        <v>1</v>
      </c>
      <c r="K245" s="6">
        <v>1</v>
      </c>
      <c r="L245" s="6">
        <v>1</v>
      </c>
      <c r="M245" s="6">
        <v>7.89</v>
      </c>
      <c r="N245" s="6">
        <v>1</v>
      </c>
      <c r="O245" s="6">
        <v>1</v>
      </c>
      <c r="P245" s="6">
        <v>1</v>
      </c>
      <c r="Q245" s="6">
        <v>7.89</v>
      </c>
      <c r="R245" s="6" t="s">
        <v>3</v>
      </c>
      <c r="S245" s="6" t="s">
        <v>3</v>
      </c>
      <c r="T245" s="6" t="s">
        <v>3</v>
      </c>
      <c r="U245" s="6" t="s">
        <v>3</v>
      </c>
      <c r="V245" s="6" t="s">
        <v>3</v>
      </c>
      <c r="W245" s="6" t="s">
        <v>3</v>
      </c>
      <c r="X245" s="6" t="s">
        <v>3</v>
      </c>
      <c r="Y245" s="6" t="s">
        <v>3</v>
      </c>
      <c r="Z245" s="6" t="s">
        <v>3</v>
      </c>
      <c r="AA245" s="6" t="s">
        <v>3</v>
      </c>
    </row>
    <row r="246" spans="1:27" x14ac:dyDescent="0.2">
      <c r="A246" s="71">
        <v>75</v>
      </c>
      <c r="B246" s="4" t="s">
        <v>195</v>
      </c>
      <c r="C246" s="4">
        <v>2000</v>
      </c>
      <c r="D246" s="4">
        <v>0</v>
      </c>
      <c r="E246" s="4">
        <v>1</v>
      </c>
      <c r="F246" s="4"/>
      <c r="G246" s="4">
        <v>0</v>
      </c>
      <c r="H246" s="4">
        <v>1</v>
      </c>
      <c r="I246" s="4">
        <v>0</v>
      </c>
      <c r="J246" s="4">
        <v>3</v>
      </c>
      <c r="K246" s="4">
        <v>0</v>
      </c>
      <c r="L246" s="4">
        <v>0</v>
      </c>
      <c r="M246" s="4">
        <v>0</v>
      </c>
      <c r="N246" s="4">
        <v>49290729</v>
      </c>
      <c r="O246" s="4">
        <v>2</v>
      </c>
    </row>
    <row r="250" spans="1:27" x14ac:dyDescent="0.2">
      <c r="A250" s="66">
        <v>65</v>
      </c>
      <c r="C250">
        <v>1</v>
      </c>
      <c r="D250">
        <v>0</v>
      </c>
      <c r="E250">
        <v>245</v>
      </c>
    </row>
  </sheetData>
  <dataConsolidate/>
  <printOptions gridLines="1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C58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33" x14ac:dyDescent="0.2">
      <c r="A1">
        <v>0</v>
      </c>
      <c r="B1" t="s">
        <v>0</v>
      </c>
      <c r="D1" t="s">
        <v>196</v>
      </c>
      <c r="F1">
        <v>0</v>
      </c>
      <c r="G1">
        <v>0</v>
      </c>
      <c r="H1">
        <v>0</v>
      </c>
      <c r="I1" t="s">
        <v>2</v>
      </c>
      <c r="J1" t="s">
        <v>3</v>
      </c>
      <c r="K1">
        <v>1</v>
      </c>
      <c r="L1">
        <v>61863</v>
      </c>
      <c r="M1">
        <v>10</v>
      </c>
      <c r="N1">
        <v>10</v>
      </c>
      <c r="O1">
        <v>1</v>
      </c>
      <c r="P1">
        <v>0</v>
      </c>
      <c r="Q1">
        <v>11</v>
      </c>
    </row>
    <row r="4" spans="1:133" x14ac:dyDescent="0.2">
      <c r="A4" s="1">
        <v>1</v>
      </c>
      <c r="B4" s="1">
        <v>1</v>
      </c>
      <c r="C4" s="1">
        <v>-1</v>
      </c>
      <c r="D4" s="1"/>
      <c r="E4" s="1"/>
      <c r="F4" s="1" t="s">
        <v>4</v>
      </c>
      <c r="G4" s="1" t="s">
        <v>5</v>
      </c>
      <c r="H4" s="1" t="s">
        <v>3</v>
      </c>
      <c r="I4" s="1" t="s">
        <v>3</v>
      </c>
      <c r="J4" s="1" t="s">
        <v>3</v>
      </c>
      <c r="K4" s="1" t="s">
        <v>3</v>
      </c>
      <c r="L4" s="1" t="s">
        <v>3</v>
      </c>
      <c r="M4" s="1" t="s">
        <v>3</v>
      </c>
      <c r="N4" s="1" t="s">
        <v>3</v>
      </c>
      <c r="O4" s="1" t="s">
        <v>3</v>
      </c>
      <c r="P4" s="1">
        <v>0</v>
      </c>
      <c r="Q4" s="1" t="s">
        <v>3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v>0</v>
      </c>
    </row>
    <row r="12" spans="1:133" x14ac:dyDescent="0.2">
      <c r="A12" s="1">
        <v>1</v>
      </c>
      <c r="B12" s="1">
        <v>56</v>
      </c>
      <c r="C12" s="1">
        <v>0</v>
      </c>
      <c r="D12" s="1"/>
      <c r="E12" s="1">
        <v>0</v>
      </c>
      <c r="F12" s="1" t="s">
        <v>6</v>
      </c>
      <c r="G12" s="1" t="s">
        <v>7</v>
      </c>
      <c r="H12" s="1" t="s">
        <v>3</v>
      </c>
      <c r="I12" s="1">
        <v>0</v>
      </c>
      <c r="J12" s="1" t="s">
        <v>3</v>
      </c>
      <c r="K12" s="1">
        <v>0</v>
      </c>
      <c r="L12" s="1"/>
      <c r="M12" s="1"/>
      <c r="N12" s="1"/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/>
      <c r="U12" s="1" t="s">
        <v>3</v>
      </c>
      <c r="V12" s="1">
        <v>0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/>
      <c r="AL12" s="1" t="s">
        <v>3</v>
      </c>
      <c r="AM12" s="1" t="s">
        <v>3</v>
      </c>
      <c r="AN12" s="1" t="s">
        <v>3</v>
      </c>
      <c r="AO12" s="1"/>
      <c r="AP12" s="1" t="s">
        <v>3</v>
      </c>
      <c r="AQ12" s="1" t="s">
        <v>3</v>
      </c>
      <c r="AR12" s="1" t="s">
        <v>3</v>
      </c>
      <c r="AS12" s="1"/>
      <c r="AT12" s="1"/>
      <c r="AU12" s="1"/>
      <c r="AV12" s="1"/>
      <c r="AW12" s="1"/>
      <c r="AX12" s="1" t="s">
        <v>3</v>
      </c>
      <c r="AY12" s="1" t="s">
        <v>3</v>
      </c>
      <c r="AZ12" s="1" t="s">
        <v>3</v>
      </c>
      <c r="BA12" s="1"/>
      <c r="BB12" s="1"/>
      <c r="BC12" s="1"/>
      <c r="BD12" s="1"/>
      <c r="BE12" s="1"/>
      <c r="BF12" s="1"/>
      <c r="BG12" s="1"/>
      <c r="BH12" s="1" t="s">
        <v>8</v>
      </c>
      <c r="BI12" s="1" t="s">
        <v>9</v>
      </c>
      <c r="BJ12" s="1">
        <v>1</v>
      </c>
      <c r="BK12" s="1">
        <v>1</v>
      </c>
      <c r="BL12" s="1">
        <v>0</v>
      </c>
      <c r="BM12" s="1">
        <v>0</v>
      </c>
      <c r="BN12" s="1">
        <v>1</v>
      </c>
      <c r="BO12" s="1">
        <v>0</v>
      </c>
      <c r="BP12" s="1">
        <v>6</v>
      </c>
      <c r="BQ12" s="1">
        <v>2</v>
      </c>
      <c r="BR12" s="1">
        <v>1</v>
      </c>
      <c r="BS12" s="1">
        <v>1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 t="s">
        <v>3</v>
      </c>
      <c r="BZ12" s="1" t="s">
        <v>10</v>
      </c>
      <c r="CA12" s="1" t="s">
        <v>11</v>
      </c>
      <c r="CB12" s="1" t="s">
        <v>11</v>
      </c>
      <c r="CC12" s="1" t="s">
        <v>11</v>
      </c>
      <c r="CD12" s="1" t="s">
        <v>11</v>
      </c>
      <c r="CE12" s="1" t="s">
        <v>12</v>
      </c>
      <c r="CF12" s="1">
        <v>0</v>
      </c>
      <c r="CG12" s="1">
        <v>0</v>
      </c>
      <c r="CH12" s="1">
        <v>524296</v>
      </c>
      <c r="CI12" s="1" t="s">
        <v>3</v>
      </c>
      <c r="CJ12" s="1" t="s">
        <v>3</v>
      </c>
      <c r="CK12" s="1">
        <v>5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>
        <v>0</v>
      </c>
    </row>
    <row r="14" spans="1:133" x14ac:dyDescent="0.2">
      <c r="A14" s="1">
        <v>22</v>
      </c>
      <c r="B14" s="1">
        <v>0</v>
      </c>
      <c r="C14" s="1">
        <v>0</v>
      </c>
      <c r="D14" s="1">
        <v>49290730</v>
      </c>
      <c r="E14" s="1">
        <v>49290729</v>
      </c>
      <c r="F14" s="1">
        <v>3</v>
      </c>
      <c r="G14" s="1"/>
      <c r="H14" s="1"/>
      <c r="I14" s="1"/>
      <c r="J14" s="1"/>
      <c r="K14" s="1"/>
      <c r="L14" s="1"/>
      <c r="M14" s="1"/>
      <c r="N14" s="1"/>
      <c r="O14" s="1"/>
    </row>
    <row r="16" spans="1:133" x14ac:dyDescent="0.2">
      <c r="A16" s="7">
        <v>3</v>
      </c>
      <c r="B16" s="7">
        <v>1</v>
      </c>
      <c r="C16" s="7" t="s">
        <v>13</v>
      </c>
      <c r="D16" s="7" t="s">
        <v>13</v>
      </c>
      <c r="E16" s="8">
        <f>(Source!P161)/1000</f>
        <v>1357.04306</v>
      </c>
      <c r="F16" s="8">
        <f>(Source!P162)/1000</f>
        <v>0</v>
      </c>
      <c r="G16" s="8">
        <f>(Source!P153)/1000</f>
        <v>0</v>
      </c>
      <c r="H16" s="8">
        <f>(Source!P163)/1000+(Source!P164)/1000</f>
        <v>291.00040000000001</v>
      </c>
      <c r="I16" s="8">
        <f>E16+F16+G16+H16</f>
        <v>1648.0434599999999</v>
      </c>
      <c r="J16" s="8">
        <f>(Source!P159)/1000</f>
        <v>472.09934000000004</v>
      </c>
      <c r="T16" s="9">
        <f>(Source!F161)/1000</f>
        <v>49.508669999999995</v>
      </c>
      <c r="U16" s="9">
        <f>(Source!F162)/1000</f>
        <v>0</v>
      </c>
      <c r="V16" s="9">
        <f>(Source!F153)/1000</f>
        <v>0</v>
      </c>
      <c r="W16" s="9">
        <f>(Source!F163)/1000+(Source!F164)/1000</f>
        <v>36.882179999999998</v>
      </c>
      <c r="X16" s="9">
        <f>T16+U16+V16+W16</f>
        <v>86.39085</v>
      </c>
      <c r="Y16" s="9">
        <f>(Source!F159)/1000</f>
        <v>15.61176</v>
      </c>
      <c r="AI16" s="7">
        <v>0</v>
      </c>
      <c r="AJ16" s="7">
        <v>0</v>
      </c>
      <c r="AK16" s="7" t="s">
        <v>3</v>
      </c>
      <c r="AL16" s="7" t="s">
        <v>3</v>
      </c>
      <c r="AM16" s="7" t="s">
        <v>3</v>
      </c>
      <c r="AN16" s="7">
        <v>0</v>
      </c>
      <c r="AO16" s="7" t="s">
        <v>3</v>
      </c>
      <c r="AP16" s="7" t="s">
        <v>3</v>
      </c>
      <c r="AT16" s="8">
        <v>784069.6</v>
      </c>
      <c r="AU16" s="8">
        <v>310125.26</v>
      </c>
      <c r="AV16" s="8">
        <v>0</v>
      </c>
      <c r="AW16" s="8">
        <v>0</v>
      </c>
      <c r="AX16" s="8">
        <v>0</v>
      </c>
      <c r="AY16" s="8">
        <v>1845</v>
      </c>
      <c r="AZ16" s="8">
        <v>1350.87</v>
      </c>
      <c r="BA16" s="8">
        <v>472099.34</v>
      </c>
      <c r="BB16" s="8">
        <v>1357043.06</v>
      </c>
      <c r="BC16" s="8">
        <v>0</v>
      </c>
      <c r="BD16" s="8">
        <v>291000.40000000002</v>
      </c>
      <c r="BE16" s="8">
        <v>0</v>
      </c>
      <c r="BF16" s="8">
        <v>1940.9490221599999</v>
      </c>
      <c r="BG16" s="8">
        <v>3.6644747999999998</v>
      </c>
      <c r="BH16" s="8">
        <v>0</v>
      </c>
      <c r="BI16" s="8">
        <v>499798.45</v>
      </c>
      <c r="BJ16" s="8">
        <v>303761.99</v>
      </c>
      <c r="BK16" s="8">
        <v>1648043.46</v>
      </c>
      <c r="BR16" s="9">
        <v>56093.43</v>
      </c>
      <c r="BS16" s="9">
        <v>40285.18</v>
      </c>
      <c r="BT16" s="9">
        <v>0</v>
      </c>
      <c r="BU16" s="9">
        <v>0</v>
      </c>
      <c r="BV16" s="9">
        <v>0</v>
      </c>
      <c r="BW16" s="9">
        <v>196.49</v>
      </c>
      <c r="BX16" s="9">
        <v>44.68</v>
      </c>
      <c r="BY16" s="9">
        <v>15611.76</v>
      </c>
      <c r="BZ16" s="9">
        <v>49508.67</v>
      </c>
      <c r="CA16" s="9">
        <v>0</v>
      </c>
      <c r="CB16" s="9">
        <v>36882.18</v>
      </c>
      <c r="CC16" s="9">
        <v>0</v>
      </c>
      <c r="CD16" s="9">
        <v>1940.9490221599999</v>
      </c>
      <c r="CE16" s="9">
        <v>3.6644747999999998</v>
      </c>
      <c r="CF16" s="9">
        <v>0</v>
      </c>
      <c r="CG16" s="9">
        <v>16527.740000000002</v>
      </c>
      <c r="CH16" s="9">
        <v>10045.049999999999</v>
      </c>
      <c r="CI16" s="9">
        <v>86390.85</v>
      </c>
    </row>
    <row r="18" spans="1:40" x14ac:dyDescent="0.2">
      <c r="A18">
        <v>51</v>
      </c>
      <c r="E18" s="10">
        <f>SUMIF(A16:A17,3,E16:E17)</f>
        <v>1357.04306</v>
      </c>
      <c r="F18" s="10">
        <f>SUMIF(A16:A17,3,F16:F17)</f>
        <v>0</v>
      </c>
      <c r="G18" s="10">
        <f>SUMIF(A16:A17,3,G16:G17)</f>
        <v>0</v>
      </c>
      <c r="H18" s="10">
        <f>SUMIF(A16:A17,3,H16:H17)</f>
        <v>291.00040000000001</v>
      </c>
      <c r="I18" s="10">
        <f>SUMIF(A16:A17,3,I16:I17)</f>
        <v>1648.0434599999999</v>
      </c>
      <c r="J18" s="10">
        <f>SUMIF(A16:A17,3,J16:J17)</f>
        <v>472.09934000000004</v>
      </c>
      <c r="K18" s="10"/>
      <c r="L18" s="10"/>
      <c r="M18" s="10"/>
      <c r="N18" s="10"/>
      <c r="O18" s="10"/>
      <c r="P18" s="10"/>
      <c r="Q18" s="10"/>
      <c r="R18" s="10"/>
      <c r="S18" s="10"/>
      <c r="T18" s="3">
        <f>SUMIF(A16:A17,3,T16:T17)</f>
        <v>49.508669999999995</v>
      </c>
      <c r="U18" s="3">
        <f>SUMIF(A16:A17,3,U16:U17)</f>
        <v>0</v>
      </c>
      <c r="V18" s="3">
        <f>SUMIF(A16:A17,3,V16:V17)</f>
        <v>0</v>
      </c>
      <c r="W18" s="3">
        <f>SUMIF(A16:A17,3,W16:W17)</f>
        <v>36.882179999999998</v>
      </c>
      <c r="X18" s="3">
        <f>SUMIF(A16:A17,3,X16:X17)</f>
        <v>86.39085</v>
      </c>
      <c r="Y18" s="3">
        <f>SUMIF(A16:A17,3,Y16:Y17)</f>
        <v>15.61176</v>
      </c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20" spans="1:40" x14ac:dyDescent="0.2">
      <c r="A20" s="5">
        <v>50</v>
      </c>
      <c r="B20" s="5">
        <v>0</v>
      </c>
      <c r="C20" s="5">
        <v>0</v>
      </c>
      <c r="D20" s="5">
        <v>1</v>
      </c>
      <c r="E20" s="5">
        <v>201</v>
      </c>
      <c r="F20" s="5">
        <v>784069.6</v>
      </c>
      <c r="G20" s="5" t="s">
        <v>38</v>
      </c>
      <c r="H20" s="5" t="s">
        <v>39</v>
      </c>
      <c r="I20" s="5"/>
      <c r="J20" s="5"/>
      <c r="K20" s="5">
        <v>201</v>
      </c>
      <c r="L20" s="5">
        <v>1</v>
      </c>
      <c r="M20" s="5">
        <v>3</v>
      </c>
      <c r="N20" s="5" t="s">
        <v>3</v>
      </c>
      <c r="O20" s="5">
        <v>2</v>
      </c>
      <c r="P20" s="5">
        <v>56093.43</v>
      </c>
    </row>
    <row r="21" spans="1:40" x14ac:dyDescent="0.2">
      <c r="A21" s="5">
        <v>50</v>
      </c>
      <c r="B21" s="5">
        <v>0</v>
      </c>
      <c r="C21" s="5">
        <v>0</v>
      </c>
      <c r="D21" s="5">
        <v>1</v>
      </c>
      <c r="E21" s="5">
        <v>202</v>
      </c>
      <c r="F21" s="5">
        <v>310125.26</v>
      </c>
      <c r="G21" s="5" t="s">
        <v>40</v>
      </c>
      <c r="H21" s="5" t="s">
        <v>41</v>
      </c>
      <c r="I21" s="5"/>
      <c r="J21" s="5"/>
      <c r="K21" s="5">
        <v>202</v>
      </c>
      <c r="L21" s="5">
        <v>2</v>
      </c>
      <c r="M21" s="5">
        <v>3</v>
      </c>
      <c r="N21" s="5" t="s">
        <v>3</v>
      </c>
      <c r="O21" s="5">
        <v>2</v>
      </c>
      <c r="P21" s="5">
        <v>40285.18</v>
      </c>
    </row>
    <row r="22" spans="1:40" x14ac:dyDescent="0.2">
      <c r="A22" s="5">
        <v>50</v>
      </c>
      <c r="B22" s="5">
        <v>0</v>
      </c>
      <c r="C22" s="5">
        <v>0</v>
      </c>
      <c r="D22" s="5">
        <v>1</v>
      </c>
      <c r="E22" s="5">
        <v>222</v>
      </c>
      <c r="F22" s="5">
        <v>0</v>
      </c>
      <c r="G22" s="5" t="s">
        <v>42</v>
      </c>
      <c r="H22" s="5" t="s">
        <v>43</v>
      </c>
      <c r="I22" s="5"/>
      <c r="J22" s="5"/>
      <c r="K22" s="5">
        <v>222</v>
      </c>
      <c r="L22" s="5">
        <v>3</v>
      </c>
      <c r="M22" s="5">
        <v>3</v>
      </c>
      <c r="N22" s="5" t="s">
        <v>3</v>
      </c>
      <c r="O22" s="5">
        <v>2</v>
      </c>
      <c r="P22" s="5">
        <v>0</v>
      </c>
    </row>
    <row r="23" spans="1:40" x14ac:dyDescent="0.2">
      <c r="A23" s="5">
        <v>50</v>
      </c>
      <c r="B23" s="5">
        <v>0</v>
      </c>
      <c r="C23" s="5">
        <v>0</v>
      </c>
      <c r="D23" s="5">
        <v>1</v>
      </c>
      <c r="E23" s="5">
        <v>225</v>
      </c>
      <c r="F23" s="5">
        <v>310125.26</v>
      </c>
      <c r="G23" s="5" t="s">
        <v>44</v>
      </c>
      <c r="H23" s="5" t="s">
        <v>45</v>
      </c>
      <c r="I23" s="5"/>
      <c r="J23" s="5"/>
      <c r="K23" s="5">
        <v>225</v>
      </c>
      <c r="L23" s="5">
        <v>4</v>
      </c>
      <c r="M23" s="5">
        <v>3</v>
      </c>
      <c r="N23" s="5" t="s">
        <v>3</v>
      </c>
      <c r="O23" s="5">
        <v>2</v>
      </c>
      <c r="P23" s="5">
        <v>40285.18</v>
      </c>
    </row>
    <row r="24" spans="1:40" x14ac:dyDescent="0.2">
      <c r="A24" s="5">
        <v>50</v>
      </c>
      <c r="B24" s="5">
        <v>0</v>
      </c>
      <c r="C24" s="5">
        <v>0</v>
      </c>
      <c r="D24" s="5">
        <v>1</v>
      </c>
      <c r="E24" s="5">
        <v>226</v>
      </c>
      <c r="F24" s="5">
        <v>310125.26</v>
      </c>
      <c r="G24" s="5" t="s">
        <v>46</v>
      </c>
      <c r="H24" s="5" t="s">
        <v>47</v>
      </c>
      <c r="I24" s="5"/>
      <c r="J24" s="5"/>
      <c r="K24" s="5">
        <v>226</v>
      </c>
      <c r="L24" s="5">
        <v>5</v>
      </c>
      <c r="M24" s="5">
        <v>3</v>
      </c>
      <c r="N24" s="5" t="s">
        <v>3</v>
      </c>
      <c r="O24" s="5">
        <v>2</v>
      </c>
      <c r="P24" s="5">
        <v>40285.18</v>
      </c>
    </row>
    <row r="25" spans="1:40" x14ac:dyDescent="0.2">
      <c r="A25" s="5">
        <v>50</v>
      </c>
      <c r="B25" s="5">
        <v>0</v>
      </c>
      <c r="C25" s="5">
        <v>0</v>
      </c>
      <c r="D25" s="5">
        <v>1</v>
      </c>
      <c r="E25" s="5">
        <v>227</v>
      </c>
      <c r="F25" s="5">
        <v>0</v>
      </c>
      <c r="G25" s="5" t="s">
        <v>48</v>
      </c>
      <c r="H25" s="5" t="s">
        <v>49</v>
      </c>
      <c r="I25" s="5"/>
      <c r="J25" s="5"/>
      <c r="K25" s="5">
        <v>227</v>
      </c>
      <c r="L25" s="5">
        <v>6</v>
      </c>
      <c r="M25" s="5">
        <v>3</v>
      </c>
      <c r="N25" s="5" t="s">
        <v>3</v>
      </c>
      <c r="O25" s="5">
        <v>2</v>
      </c>
      <c r="P25" s="5">
        <v>0</v>
      </c>
    </row>
    <row r="26" spans="1:40" x14ac:dyDescent="0.2">
      <c r="A26" s="5">
        <v>50</v>
      </c>
      <c r="B26" s="5">
        <v>0</v>
      </c>
      <c r="C26" s="5">
        <v>0</v>
      </c>
      <c r="D26" s="5">
        <v>1</v>
      </c>
      <c r="E26" s="5">
        <v>228</v>
      </c>
      <c r="F26" s="5">
        <v>310125.26</v>
      </c>
      <c r="G26" s="5" t="s">
        <v>50</v>
      </c>
      <c r="H26" s="5" t="s">
        <v>51</v>
      </c>
      <c r="I26" s="5"/>
      <c r="J26" s="5"/>
      <c r="K26" s="5">
        <v>228</v>
      </c>
      <c r="L26" s="5">
        <v>7</v>
      </c>
      <c r="M26" s="5">
        <v>3</v>
      </c>
      <c r="N26" s="5" t="s">
        <v>3</v>
      </c>
      <c r="O26" s="5">
        <v>2</v>
      </c>
      <c r="P26" s="5">
        <v>40285.18</v>
      </c>
    </row>
    <row r="27" spans="1:40" x14ac:dyDescent="0.2">
      <c r="A27" s="5">
        <v>50</v>
      </c>
      <c r="B27" s="5">
        <v>0</v>
      </c>
      <c r="C27" s="5">
        <v>0</v>
      </c>
      <c r="D27" s="5">
        <v>1</v>
      </c>
      <c r="E27" s="5">
        <v>216</v>
      </c>
      <c r="F27" s="5">
        <v>0</v>
      </c>
      <c r="G27" s="5" t="s">
        <v>52</v>
      </c>
      <c r="H27" s="5" t="s">
        <v>53</v>
      </c>
      <c r="I27" s="5"/>
      <c r="J27" s="5"/>
      <c r="K27" s="5">
        <v>216</v>
      </c>
      <c r="L27" s="5">
        <v>8</v>
      </c>
      <c r="M27" s="5">
        <v>3</v>
      </c>
      <c r="N27" s="5" t="s">
        <v>3</v>
      </c>
      <c r="O27" s="5">
        <v>2</v>
      </c>
      <c r="P27" s="5">
        <v>0</v>
      </c>
    </row>
    <row r="28" spans="1:40" x14ac:dyDescent="0.2">
      <c r="A28" s="5">
        <v>50</v>
      </c>
      <c r="B28" s="5">
        <v>0</v>
      </c>
      <c r="C28" s="5">
        <v>0</v>
      </c>
      <c r="D28" s="5">
        <v>1</v>
      </c>
      <c r="E28" s="5">
        <v>223</v>
      </c>
      <c r="F28" s="5">
        <v>0</v>
      </c>
      <c r="G28" s="5" t="s">
        <v>54</v>
      </c>
      <c r="H28" s="5" t="s">
        <v>55</v>
      </c>
      <c r="I28" s="5"/>
      <c r="J28" s="5"/>
      <c r="K28" s="5">
        <v>223</v>
      </c>
      <c r="L28" s="5">
        <v>9</v>
      </c>
      <c r="M28" s="5">
        <v>3</v>
      </c>
      <c r="N28" s="5" t="s">
        <v>3</v>
      </c>
      <c r="O28" s="5">
        <v>2</v>
      </c>
      <c r="P28" s="5">
        <v>0</v>
      </c>
    </row>
    <row r="29" spans="1:40" x14ac:dyDescent="0.2">
      <c r="A29" s="5">
        <v>50</v>
      </c>
      <c r="B29" s="5">
        <v>0</v>
      </c>
      <c r="C29" s="5">
        <v>0</v>
      </c>
      <c r="D29" s="5">
        <v>1</v>
      </c>
      <c r="E29" s="5">
        <v>229</v>
      </c>
      <c r="F29" s="5">
        <v>0</v>
      </c>
      <c r="G29" s="5" t="s">
        <v>56</v>
      </c>
      <c r="H29" s="5" t="s">
        <v>57</v>
      </c>
      <c r="I29" s="5"/>
      <c r="J29" s="5"/>
      <c r="K29" s="5">
        <v>229</v>
      </c>
      <c r="L29" s="5">
        <v>10</v>
      </c>
      <c r="M29" s="5">
        <v>3</v>
      </c>
      <c r="N29" s="5" t="s">
        <v>3</v>
      </c>
      <c r="O29" s="5">
        <v>2</v>
      </c>
      <c r="P29" s="5">
        <v>0</v>
      </c>
    </row>
    <row r="30" spans="1:40" x14ac:dyDescent="0.2">
      <c r="A30" s="5">
        <v>50</v>
      </c>
      <c r="B30" s="5">
        <v>0</v>
      </c>
      <c r="C30" s="5">
        <v>0</v>
      </c>
      <c r="D30" s="5">
        <v>1</v>
      </c>
      <c r="E30" s="5">
        <v>203</v>
      </c>
      <c r="F30" s="5">
        <v>1845</v>
      </c>
      <c r="G30" s="5" t="s">
        <v>58</v>
      </c>
      <c r="H30" s="5" t="s">
        <v>59</v>
      </c>
      <c r="I30" s="5"/>
      <c r="J30" s="5"/>
      <c r="K30" s="5">
        <v>203</v>
      </c>
      <c r="L30" s="5">
        <v>11</v>
      </c>
      <c r="M30" s="5">
        <v>3</v>
      </c>
      <c r="N30" s="5" t="s">
        <v>3</v>
      </c>
      <c r="O30" s="5">
        <v>2</v>
      </c>
      <c r="P30" s="5">
        <v>196.49</v>
      </c>
    </row>
    <row r="31" spans="1:40" x14ac:dyDescent="0.2">
      <c r="A31" s="5">
        <v>50</v>
      </c>
      <c r="B31" s="5">
        <v>0</v>
      </c>
      <c r="C31" s="5">
        <v>0</v>
      </c>
      <c r="D31" s="5">
        <v>1</v>
      </c>
      <c r="E31" s="5">
        <v>231</v>
      </c>
      <c r="F31" s="5">
        <v>0</v>
      </c>
      <c r="G31" s="5" t="s">
        <v>60</v>
      </c>
      <c r="H31" s="5" t="s">
        <v>61</v>
      </c>
      <c r="I31" s="5"/>
      <c r="J31" s="5"/>
      <c r="K31" s="5">
        <v>231</v>
      </c>
      <c r="L31" s="5">
        <v>12</v>
      </c>
      <c r="M31" s="5">
        <v>3</v>
      </c>
      <c r="N31" s="5" t="s">
        <v>3</v>
      </c>
      <c r="O31" s="5">
        <v>2</v>
      </c>
      <c r="P31" s="5">
        <v>0</v>
      </c>
    </row>
    <row r="32" spans="1:40" x14ac:dyDescent="0.2">
      <c r="A32" s="5">
        <v>50</v>
      </c>
      <c r="B32" s="5">
        <v>0</v>
      </c>
      <c r="C32" s="5">
        <v>0</v>
      </c>
      <c r="D32" s="5">
        <v>1</v>
      </c>
      <c r="E32" s="5">
        <v>204</v>
      </c>
      <c r="F32" s="5">
        <v>1350.87</v>
      </c>
      <c r="G32" s="5" t="s">
        <v>62</v>
      </c>
      <c r="H32" s="5" t="s">
        <v>63</v>
      </c>
      <c r="I32" s="5"/>
      <c r="J32" s="5"/>
      <c r="K32" s="5">
        <v>204</v>
      </c>
      <c r="L32" s="5">
        <v>13</v>
      </c>
      <c r="M32" s="5">
        <v>3</v>
      </c>
      <c r="N32" s="5" t="s">
        <v>3</v>
      </c>
      <c r="O32" s="5">
        <v>2</v>
      </c>
      <c r="P32" s="5">
        <v>44.68</v>
      </c>
    </row>
    <row r="33" spans="1:16" x14ac:dyDescent="0.2">
      <c r="A33" s="5">
        <v>50</v>
      </c>
      <c r="B33" s="5">
        <v>0</v>
      </c>
      <c r="C33" s="5">
        <v>0</v>
      </c>
      <c r="D33" s="5">
        <v>1</v>
      </c>
      <c r="E33" s="5">
        <v>205</v>
      </c>
      <c r="F33" s="5">
        <v>472099.34</v>
      </c>
      <c r="G33" s="5" t="s">
        <v>64</v>
      </c>
      <c r="H33" s="5" t="s">
        <v>65</v>
      </c>
      <c r="I33" s="5"/>
      <c r="J33" s="5"/>
      <c r="K33" s="5">
        <v>205</v>
      </c>
      <c r="L33" s="5">
        <v>14</v>
      </c>
      <c r="M33" s="5">
        <v>3</v>
      </c>
      <c r="N33" s="5" t="s">
        <v>3</v>
      </c>
      <c r="O33" s="5">
        <v>2</v>
      </c>
      <c r="P33" s="5">
        <v>15611.76</v>
      </c>
    </row>
    <row r="34" spans="1:16" x14ac:dyDescent="0.2">
      <c r="A34" s="5">
        <v>50</v>
      </c>
      <c r="B34" s="5">
        <v>0</v>
      </c>
      <c r="C34" s="5">
        <v>0</v>
      </c>
      <c r="D34" s="5">
        <v>1</v>
      </c>
      <c r="E34" s="5">
        <v>232</v>
      </c>
      <c r="F34" s="5">
        <v>0</v>
      </c>
      <c r="G34" s="5" t="s">
        <v>66</v>
      </c>
      <c r="H34" s="5" t="s">
        <v>67</v>
      </c>
      <c r="I34" s="5"/>
      <c r="J34" s="5"/>
      <c r="K34" s="5">
        <v>232</v>
      </c>
      <c r="L34" s="5">
        <v>15</v>
      </c>
      <c r="M34" s="5">
        <v>3</v>
      </c>
      <c r="N34" s="5" t="s">
        <v>3</v>
      </c>
      <c r="O34" s="5">
        <v>2</v>
      </c>
      <c r="P34" s="5">
        <v>0</v>
      </c>
    </row>
    <row r="35" spans="1:16" x14ac:dyDescent="0.2">
      <c r="A35" s="5">
        <v>50</v>
      </c>
      <c r="B35" s="5">
        <v>0</v>
      </c>
      <c r="C35" s="5">
        <v>0</v>
      </c>
      <c r="D35" s="5">
        <v>1</v>
      </c>
      <c r="E35" s="5">
        <v>214</v>
      </c>
      <c r="F35" s="5">
        <v>1357043.06</v>
      </c>
      <c r="G35" s="5" t="s">
        <v>68</v>
      </c>
      <c r="H35" s="5" t="s">
        <v>69</v>
      </c>
      <c r="I35" s="5"/>
      <c r="J35" s="5"/>
      <c r="K35" s="5">
        <v>214</v>
      </c>
      <c r="L35" s="5">
        <v>16</v>
      </c>
      <c r="M35" s="5">
        <v>3</v>
      </c>
      <c r="N35" s="5" t="s">
        <v>3</v>
      </c>
      <c r="O35" s="5">
        <v>2</v>
      </c>
      <c r="P35" s="5">
        <v>49508.67</v>
      </c>
    </row>
    <row r="36" spans="1:16" x14ac:dyDescent="0.2">
      <c r="A36" s="5">
        <v>50</v>
      </c>
      <c r="B36" s="5">
        <v>0</v>
      </c>
      <c r="C36" s="5">
        <v>0</v>
      </c>
      <c r="D36" s="5">
        <v>1</v>
      </c>
      <c r="E36" s="5">
        <v>215</v>
      </c>
      <c r="F36" s="5">
        <v>0</v>
      </c>
      <c r="G36" s="5" t="s">
        <v>70</v>
      </c>
      <c r="H36" s="5" t="s">
        <v>71</v>
      </c>
      <c r="I36" s="5"/>
      <c r="J36" s="5"/>
      <c r="K36" s="5">
        <v>215</v>
      </c>
      <c r="L36" s="5">
        <v>17</v>
      </c>
      <c r="M36" s="5">
        <v>3</v>
      </c>
      <c r="N36" s="5" t="s">
        <v>3</v>
      </c>
      <c r="O36" s="5">
        <v>2</v>
      </c>
      <c r="P36" s="5">
        <v>0</v>
      </c>
    </row>
    <row r="37" spans="1:16" x14ac:dyDescent="0.2">
      <c r="A37" s="5">
        <v>50</v>
      </c>
      <c r="B37" s="5">
        <v>0</v>
      </c>
      <c r="C37" s="5">
        <v>0</v>
      </c>
      <c r="D37" s="5">
        <v>1</v>
      </c>
      <c r="E37" s="5">
        <v>217</v>
      </c>
      <c r="F37" s="5">
        <v>291000.40000000002</v>
      </c>
      <c r="G37" s="5" t="s">
        <v>72</v>
      </c>
      <c r="H37" s="5" t="s">
        <v>73</v>
      </c>
      <c r="I37" s="5"/>
      <c r="J37" s="5"/>
      <c r="K37" s="5">
        <v>217</v>
      </c>
      <c r="L37" s="5">
        <v>18</v>
      </c>
      <c r="M37" s="5">
        <v>3</v>
      </c>
      <c r="N37" s="5" t="s">
        <v>3</v>
      </c>
      <c r="O37" s="5">
        <v>2</v>
      </c>
      <c r="P37" s="5">
        <v>36882.18</v>
      </c>
    </row>
    <row r="38" spans="1:16" x14ac:dyDescent="0.2">
      <c r="A38" s="5">
        <v>50</v>
      </c>
      <c r="B38" s="5">
        <v>0</v>
      </c>
      <c r="C38" s="5">
        <v>0</v>
      </c>
      <c r="D38" s="5">
        <v>1</v>
      </c>
      <c r="E38" s="5">
        <v>230</v>
      </c>
      <c r="F38" s="5">
        <v>0</v>
      </c>
      <c r="G38" s="5" t="s">
        <v>74</v>
      </c>
      <c r="H38" s="5" t="s">
        <v>75</v>
      </c>
      <c r="I38" s="5"/>
      <c r="J38" s="5"/>
      <c r="K38" s="5">
        <v>230</v>
      </c>
      <c r="L38" s="5">
        <v>19</v>
      </c>
      <c r="M38" s="5">
        <v>3</v>
      </c>
      <c r="N38" s="5" t="s">
        <v>3</v>
      </c>
      <c r="O38" s="5">
        <v>2</v>
      </c>
      <c r="P38" s="5">
        <v>0</v>
      </c>
    </row>
    <row r="39" spans="1:16" x14ac:dyDescent="0.2">
      <c r="A39" s="5">
        <v>50</v>
      </c>
      <c r="B39" s="5">
        <v>0</v>
      </c>
      <c r="C39" s="5">
        <v>0</v>
      </c>
      <c r="D39" s="5">
        <v>1</v>
      </c>
      <c r="E39" s="5">
        <v>206</v>
      </c>
      <c r="F39" s="5">
        <v>0</v>
      </c>
      <c r="G39" s="5" t="s">
        <v>76</v>
      </c>
      <c r="H39" s="5" t="s">
        <v>77</v>
      </c>
      <c r="I39" s="5"/>
      <c r="J39" s="5"/>
      <c r="K39" s="5">
        <v>206</v>
      </c>
      <c r="L39" s="5">
        <v>20</v>
      </c>
      <c r="M39" s="5">
        <v>3</v>
      </c>
      <c r="N39" s="5" t="s">
        <v>3</v>
      </c>
      <c r="O39" s="5">
        <v>2</v>
      </c>
      <c r="P39" s="5">
        <v>0</v>
      </c>
    </row>
    <row r="40" spans="1:16" x14ac:dyDescent="0.2">
      <c r="A40" s="5">
        <v>50</v>
      </c>
      <c r="B40" s="5">
        <v>0</v>
      </c>
      <c r="C40" s="5">
        <v>0</v>
      </c>
      <c r="D40" s="5">
        <v>1</v>
      </c>
      <c r="E40" s="5">
        <v>207</v>
      </c>
      <c r="F40" s="5">
        <v>1940.9490221599999</v>
      </c>
      <c r="G40" s="5" t="s">
        <v>78</v>
      </c>
      <c r="H40" s="5" t="s">
        <v>79</v>
      </c>
      <c r="I40" s="5"/>
      <c r="J40" s="5"/>
      <c r="K40" s="5">
        <v>207</v>
      </c>
      <c r="L40" s="5">
        <v>21</v>
      </c>
      <c r="M40" s="5">
        <v>3</v>
      </c>
      <c r="N40" s="5" t="s">
        <v>3</v>
      </c>
      <c r="O40" s="5">
        <v>-1</v>
      </c>
      <c r="P40" s="5">
        <v>1940.9490221599999</v>
      </c>
    </row>
    <row r="41" spans="1:16" x14ac:dyDescent="0.2">
      <c r="A41" s="5">
        <v>50</v>
      </c>
      <c r="B41" s="5">
        <v>0</v>
      </c>
      <c r="C41" s="5">
        <v>0</v>
      </c>
      <c r="D41" s="5">
        <v>1</v>
      </c>
      <c r="E41" s="5">
        <v>208</v>
      </c>
      <c r="F41" s="5">
        <v>3.6644747999999998</v>
      </c>
      <c r="G41" s="5" t="s">
        <v>80</v>
      </c>
      <c r="H41" s="5" t="s">
        <v>81</v>
      </c>
      <c r="I41" s="5"/>
      <c r="J41" s="5"/>
      <c r="K41" s="5">
        <v>208</v>
      </c>
      <c r="L41" s="5">
        <v>22</v>
      </c>
      <c r="M41" s="5">
        <v>3</v>
      </c>
      <c r="N41" s="5" t="s">
        <v>3</v>
      </c>
      <c r="O41" s="5">
        <v>-1</v>
      </c>
      <c r="P41" s="5">
        <v>3.6644747999999998</v>
      </c>
    </row>
    <row r="42" spans="1:16" x14ac:dyDescent="0.2">
      <c r="A42" s="5">
        <v>50</v>
      </c>
      <c r="B42" s="5">
        <v>0</v>
      </c>
      <c r="C42" s="5">
        <v>0</v>
      </c>
      <c r="D42" s="5">
        <v>1</v>
      </c>
      <c r="E42" s="5">
        <v>209</v>
      </c>
      <c r="F42" s="5">
        <v>0</v>
      </c>
      <c r="G42" s="5" t="s">
        <v>82</v>
      </c>
      <c r="H42" s="5" t="s">
        <v>83</v>
      </c>
      <c r="I42" s="5"/>
      <c r="J42" s="5"/>
      <c r="K42" s="5">
        <v>209</v>
      </c>
      <c r="L42" s="5">
        <v>23</v>
      </c>
      <c r="M42" s="5">
        <v>3</v>
      </c>
      <c r="N42" s="5" t="s">
        <v>3</v>
      </c>
      <c r="O42" s="5">
        <v>2</v>
      </c>
      <c r="P42" s="5">
        <v>0</v>
      </c>
    </row>
    <row r="43" spans="1:16" x14ac:dyDescent="0.2">
      <c r="A43" s="5">
        <v>50</v>
      </c>
      <c r="B43" s="5">
        <v>0</v>
      </c>
      <c r="C43" s="5">
        <v>0</v>
      </c>
      <c r="D43" s="5">
        <v>1</v>
      </c>
      <c r="E43" s="5">
        <v>210</v>
      </c>
      <c r="F43" s="5">
        <v>499798.45</v>
      </c>
      <c r="G43" s="5" t="s">
        <v>84</v>
      </c>
      <c r="H43" s="5" t="s">
        <v>85</v>
      </c>
      <c r="I43" s="5"/>
      <c r="J43" s="5"/>
      <c r="K43" s="5">
        <v>210</v>
      </c>
      <c r="L43" s="5">
        <v>24</v>
      </c>
      <c r="M43" s="5">
        <v>3</v>
      </c>
      <c r="N43" s="5" t="s">
        <v>3</v>
      </c>
      <c r="O43" s="5">
        <v>2</v>
      </c>
      <c r="P43" s="5">
        <v>16527.740000000002</v>
      </c>
    </row>
    <row r="44" spans="1:16" x14ac:dyDescent="0.2">
      <c r="A44" s="5">
        <v>50</v>
      </c>
      <c r="B44" s="5">
        <v>0</v>
      </c>
      <c r="C44" s="5">
        <v>0</v>
      </c>
      <c r="D44" s="5">
        <v>1</v>
      </c>
      <c r="E44" s="5">
        <v>211</v>
      </c>
      <c r="F44" s="5">
        <v>303761.99</v>
      </c>
      <c r="G44" s="5" t="s">
        <v>86</v>
      </c>
      <c r="H44" s="5" t="s">
        <v>87</v>
      </c>
      <c r="I44" s="5"/>
      <c r="J44" s="5"/>
      <c r="K44" s="5">
        <v>211</v>
      </c>
      <c r="L44" s="5">
        <v>25</v>
      </c>
      <c r="M44" s="5">
        <v>3</v>
      </c>
      <c r="N44" s="5" t="s">
        <v>3</v>
      </c>
      <c r="O44" s="5">
        <v>2</v>
      </c>
      <c r="P44" s="5">
        <v>10045.049999999999</v>
      </c>
    </row>
    <row r="45" spans="1:16" x14ac:dyDescent="0.2">
      <c r="A45" s="5">
        <v>50</v>
      </c>
      <c r="B45" s="5">
        <v>0</v>
      </c>
      <c r="C45" s="5">
        <v>0</v>
      </c>
      <c r="D45" s="5">
        <v>1</v>
      </c>
      <c r="E45" s="5">
        <v>224</v>
      </c>
      <c r="F45" s="5">
        <v>1648043.46</v>
      </c>
      <c r="G45" s="5" t="s">
        <v>88</v>
      </c>
      <c r="H45" s="5" t="s">
        <v>89</v>
      </c>
      <c r="I45" s="5"/>
      <c r="J45" s="5"/>
      <c r="K45" s="5">
        <v>224</v>
      </c>
      <c r="L45" s="5">
        <v>26</v>
      </c>
      <c r="M45" s="5">
        <v>3</v>
      </c>
      <c r="N45" s="5" t="s">
        <v>3</v>
      </c>
      <c r="O45" s="5">
        <v>2</v>
      </c>
      <c r="P45" s="5">
        <v>86390.85</v>
      </c>
    </row>
    <row r="46" spans="1:16" x14ac:dyDescent="0.2">
      <c r="A46" s="5">
        <v>50</v>
      </c>
      <c r="B46" s="5">
        <v>1</v>
      </c>
      <c r="C46" s="5">
        <v>0</v>
      </c>
      <c r="D46" s="5">
        <v>2</v>
      </c>
      <c r="E46" s="5">
        <v>0</v>
      </c>
      <c r="F46" s="5">
        <v>1648043.46</v>
      </c>
      <c r="G46" s="5" t="s">
        <v>118</v>
      </c>
      <c r="H46" s="5" t="s">
        <v>118</v>
      </c>
      <c r="I46" s="5"/>
      <c r="J46" s="5"/>
      <c r="K46" s="5">
        <v>212</v>
      </c>
      <c r="L46" s="5">
        <v>27</v>
      </c>
      <c r="M46" s="5">
        <v>0</v>
      </c>
      <c r="N46" s="5" t="s">
        <v>3</v>
      </c>
      <c r="O46" s="5">
        <v>2</v>
      </c>
      <c r="P46" s="5">
        <v>86390.85</v>
      </c>
    </row>
    <row r="47" spans="1:16" x14ac:dyDescent="0.2">
      <c r="A47" s="5">
        <v>50</v>
      </c>
      <c r="B47" s="5">
        <f>IF(SourceObSm!F47&lt;&gt;0,1,0)</f>
        <v>0</v>
      </c>
      <c r="C47" s="5">
        <v>0</v>
      </c>
      <c r="D47" s="5">
        <v>2</v>
      </c>
      <c r="E47" s="5">
        <v>0</v>
      </c>
      <c r="F47" s="5">
        <v>0</v>
      </c>
      <c r="G47" s="5" t="s">
        <v>119</v>
      </c>
      <c r="H47" s="5" t="s">
        <v>120</v>
      </c>
      <c r="I47" s="5"/>
      <c r="J47" s="5"/>
      <c r="K47" s="5">
        <v>212</v>
      </c>
      <c r="L47" s="5">
        <v>28</v>
      </c>
      <c r="M47" s="5">
        <v>1</v>
      </c>
      <c r="N47" s="5" t="s">
        <v>3</v>
      </c>
      <c r="O47" s="5">
        <v>2</v>
      </c>
      <c r="P47" s="5">
        <v>0</v>
      </c>
    </row>
    <row r="48" spans="1:16" x14ac:dyDescent="0.2">
      <c r="A48" s="5">
        <v>50</v>
      </c>
      <c r="B48" s="5">
        <f>IF(SourceObSm!F48&lt;&gt;0,1,0)</f>
        <v>1</v>
      </c>
      <c r="C48" s="5">
        <v>0</v>
      </c>
      <c r="D48" s="5">
        <v>2</v>
      </c>
      <c r="E48" s="5">
        <v>0</v>
      </c>
      <c r="F48" s="5">
        <v>291000.40000000002</v>
      </c>
      <c r="G48" s="5" t="s">
        <v>121</v>
      </c>
      <c r="H48" s="5" t="s">
        <v>122</v>
      </c>
      <c r="I48" s="5"/>
      <c r="J48" s="5"/>
      <c r="K48" s="5">
        <v>212</v>
      </c>
      <c r="L48" s="5">
        <v>29</v>
      </c>
      <c r="M48" s="5">
        <v>1</v>
      </c>
      <c r="N48" s="5" t="s">
        <v>3</v>
      </c>
      <c r="O48" s="5">
        <v>2</v>
      </c>
      <c r="P48" s="5">
        <v>36882.18</v>
      </c>
    </row>
    <row r="49" spans="1:27" x14ac:dyDescent="0.2">
      <c r="A49" s="5">
        <v>50</v>
      </c>
      <c r="B49" s="5">
        <v>1</v>
      </c>
      <c r="C49" s="5">
        <v>0</v>
      </c>
      <c r="D49" s="5">
        <v>2</v>
      </c>
      <c r="E49" s="5">
        <v>0</v>
      </c>
      <c r="F49" s="5">
        <v>1648043.46</v>
      </c>
      <c r="G49" s="5" t="s">
        <v>125</v>
      </c>
      <c r="H49" s="5" t="s">
        <v>118</v>
      </c>
      <c r="I49" s="5"/>
      <c r="J49" s="5"/>
      <c r="K49" s="5">
        <v>212</v>
      </c>
      <c r="L49" s="5">
        <v>30</v>
      </c>
      <c r="M49" s="5">
        <v>0</v>
      </c>
      <c r="N49" s="5" t="s">
        <v>3</v>
      </c>
      <c r="O49" s="5">
        <v>2</v>
      </c>
      <c r="P49" s="5">
        <v>86390.85</v>
      </c>
    </row>
    <row r="50" spans="1:27" x14ac:dyDescent="0.2">
      <c r="A50" s="5">
        <v>50</v>
      </c>
      <c r="B50" s="5">
        <v>1</v>
      </c>
      <c r="C50" s="5">
        <v>0</v>
      </c>
      <c r="D50" s="5">
        <v>2</v>
      </c>
      <c r="E50" s="5">
        <v>0</v>
      </c>
      <c r="F50" s="5">
        <v>329608.69</v>
      </c>
      <c r="G50" s="5" t="s">
        <v>127</v>
      </c>
      <c r="H50" s="5" t="s">
        <v>128</v>
      </c>
      <c r="I50" s="5"/>
      <c r="J50" s="5"/>
      <c r="K50" s="5">
        <v>212</v>
      </c>
      <c r="L50" s="5">
        <v>31</v>
      </c>
      <c r="M50" s="5">
        <v>0</v>
      </c>
      <c r="N50" s="5" t="s">
        <v>3</v>
      </c>
      <c r="O50" s="5">
        <v>2</v>
      </c>
      <c r="P50" s="5">
        <v>17278.169999999998</v>
      </c>
    </row>
    <row r="51" spans="1:27" x14ac:dyDescent="0.2">
      <c r="A51" s="5">
        <v>50</v>
      </c>
      <c r="B51" s="5">
        <v>1</v>
      </c>
      <c r="C51" s="5">
        <v>0</v>
      </c>
      <c r="D51" s="5">
        <v>2</v>
      </c>
      <c r="E51" s="5">
        <v>0</v>
      </c>
      <c r="F51" s="5">
        <v>1977652.15</v>
      </c>
      <c r="G51" s="5" t="s">
        <v>129</v>
      </c>
      <c r="H51" s="5" t="s">
        <v>130</v>
      </c>
      <c r="I51" s="5"/>
      <c r="J51" s="5"/>
      <c r="K51" s="5">
        <v>212</v>
      </c>
      <c r="L51" s="5">
        <v>32</v>
      </c>
      <c r="M51" s="5">
        <v>0</v>
      </c>
      <c r="N51" s="5" t="s">
        <v>3</v>
      </c>
      <c r="O51" s="5">
        <v>2</v>
      </c>
      <c r="P51" s="5">
        <v>103669.02</v>
      </c>
    </row>
    <row r="53" spans="1:27" x14ac:dyDescent="0.2">
      <c r="A53">
        <v>-1</v>
      </c>
    </row>
    <row r="56" spans="1:27" x14ac:dyDescent="0.2">
      <c r="A56" s="4">
        <v>75</v>
      </c>
      <c r="B56" s="4" t="s">
        <v>192</v>
      </c>
      <c r="C56" s="4">
        <v>2019</v>
      </c>
      <c r="D56" s="4">
        <v>0</v>
      </c>
      <c r="E56" s="4">
        <v>7</v>
      </c>
      <c r="F56" s="4">
        <v>0</v>
      </c>
      <c r="G56" s="4">
        <v>0</v>
      </c>
      <c r="H56" s="4">
        <v>1</v>
      </c>
      <c r="I56" s="4">
        <v>0</v>
      </c>
      <c r="J56" s="4">
        <v>3</v>
      </c>
      <c r="K56" s="4">
        <v>0</v>
      </c>
      <c r="L56" s="4">
        <v>0</v>
      </c>
      <c r="M56" s="4">
        <v>1</v>
      </c>
      <c r="N56" s="4">
        <v>49290730</v>
      </c>
      <c r="O56" s="4">
        <v>1</v>
      </c>
    </row>
    <row r="57" spans="1:27" x14ac:dyDescent="0.2">
      <c r="A57" s="6">
        <v>1</v>
      </c>
      <c r="B57" s="6" t="s">
        <v>193</v>
      </c>
      <c r="C57" s="6" t="s">
        <v>194</v>
      </c>
      <c r="D57" s="6">
        <v>2019</v>
      </c>
      <c r="E57" s="6">
        <v>7</v>
      </c>
      <c r="F57" s="6">
        <v>1</v>
      </c>
      <c r="G57" s="6">
        <v>1</v>
      </c>
      <c r="H57" s="6">
        <v>0</v>
      </c>
      <c r="I57" s="6">
        <v>2</v>
      </c>
      <c r="J57" s="6">
        <v>1</v>
      </c>
      <c r="K57" s="6">
        <v>1</v>
      </c>
      <c r="L57" s="6">
        <v>1</v>
      </c>
      <c r="M57" s="6">
        <v>7.89</v>
      </c>
      <c r="N57" s="6">
        <v>1</v>
      </c>
      <c r="O57" s="6">
        <v>1</v>
      </c>
      <c r="P57" s="6">
        <v>1</v>
      </c>
      <c r="Q57" s="6">
        <v>7.89</v>
      </c>
      <c r="R57" s="6" t="s">
        <v>3</v>
      </c>
      <c r="S57" s="6" t="s">
        <v>3</v>
      </c>
      <c r="T57" s="6" t="s">
        <v>3</v>
      </c>
      <c r="U57" s="6" t="s">
        <v>3</v>
      </c>
      <c r="V57" s="6" t="s">
        <v>3</v>
      </c>
      <c r="W57" s="6" t="s">
        <v>3</v>
      </c>
      <c r="X57" s="6" t="s">
        <v>3</v>
      </c>
      <c r="Y57" s="6" t="s">
        <v>3</v>
      </c>
      <c r="Z57" s="6" t="s">
        <v>3</v>
      </c>
      <c r="AA57" s="6" t="s">
        <v>3</v>
      </c>
    </row>
    <row r="58" spans="1:27" x14ac:dyDescent="0.2">
      <c r="A58" s="4">
        <v>75</v>
      </c>
      <c r="B58" s="4" t="s">
        <v>195</v>
      </c>
      <c r="C58" s="4">
        <v>2000</v>
      </c>
      <c r="D58" s="4">
        <v>0</v>
      </c>
      <c r="E58" s="4">
        <v>1</v>
      </c>
      <c r="F58" s="4"/>
      <c r="G58" s="4">
        <v>0</v>
      </c>
      <c r="H58" s="4">
        <v>1</v>
      </c>
      <c r="I58" s="4">
        <v>0</v>
      </c>
      <c r="J58" s="4">
        <v>3</v>
      </c>
      <c r="K58" s="4">
        <v>0</v>
      </c>
      <c r="L58" s="4">
        <v>0</v>
      </c>
      <c r="M58" s="4">
        <v>0</v>
      </c>
      <c r="N58" s="4">
        <v>49290729</v>
      </c>
      <c r="O58" s="4">
        <v>2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C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107" x14ac:dyDescent="0.2">
      <c r="A1">
        <f>ROW(Source!A28)</f>
        <v>28</v>
      </c>
      <c r="B1">
        <v>49290729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W1">
        <v>0</v>
      </c>
      <c r="X1">
        <v>735429535</v>
      </c>
      <c r="Y1">
        <v>29.52</v>
      </c>
      <c r="AA1">
        <v>0</v>
      </c>
      <c r="AB1">
        <v>0</v>
      </c>
      <c r="AC1">
        <v>0</v>
      </c>
      <c r="AD1">
        <v>7.8</v>
      </c>
      <c r="AE1">
        <v>0</v>
      </c>
      <c r="AF1">
        <v>0</v>
      </c>
      <c r="AG1">
        <v>0</v>
      </c>
      <c r="AH1">
        <v>7.8</v>
      </c>
      <c r="AI1">
        <v>1</v>
      </c>
      <c r="AJ1">
        <v>1</v>
      </c>
      <c r="AK1">
        <v>1</v>
      </c>
      <c r="AL1">
        <v>1</v>
      </c>
      <c r="AN1">
        <v>0</v>
      </c>
      <c r="AO1">
        <v>1</v>
      </c>
      <c r="AP1">
        <v>0</v>
      </c>
      <c r="AQ1">
        <v>0</v>
      </c>
      <c r="AR1">
        <v>0</v>
      </c>
      <c r="AS1" t="s">
        <v>3</v>
      </c>
      <c r="AT1">
        <v>29.52</v>
      </c>
      <c r="AU1" t="s">
        <v>3</v>
      </c>
      <c r="AV1">
        <v>1</v>
      </c>
      <c r="AW1">
        <v>2</v>
      </c>
      <c r="AX1">
        <v>49291451</v>
      </c>
      <c r="AY1">
        <v>1</v>
      </c>
      <c r="AZ1">
        <v>0</v>
      </c>
      <c r="BA1">
        <v>1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CX1">
        <f>Y1*Source!I28</f>
        <v>621.14508000000001</v>
      </c>
      <c r="CY1">
        <f t="shared" ref="CY1:CY6" si="0">AD1</f>
        <v>7.8</v>
      </c>
      <c r="CZ1">
        <f t="shared" ref="CZ1:CZ6" si="1">AH1</f>
        <v>7.8</v>
      </c>
      <c r="DA1">
        <f t="shared" ref="DA1:DA6" si="2">AL1</f>
        <v>1</v>
      </c>
      <c r="DB1">
        <f>ROUND(ROUND(AT1*CZ1,2),6)</f>
        <v>230.26</v>
      </c>
      <c r="DC1">
        <f>ROUND(ROUND(AT1*AG1,2),6)</f>
        <v>0</v>
      </c>
    </row>
    <row r="2" spans="1:107" x14ac:dyDescent="0.2">
      <c r="A2">
        <f>ROW(Source!A29)</f>
        <v>29</v>
      </c>
      <c r="B2">
        <v>49290730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W2">
        <v>0</v>
      </c>
      <c r="X2">
        <v>735429535</v>
      </c>
      <c r="Y2">
        <v>29.52</v>
      </c>
      <c r="AA2">
        <v>0</v>
      </c>
      <c r="AB2">
        <v>0</v>
      </c>
      <c r="AC2">
        <v>0</v>
      </c>
      <c r="AD2">
        <v>7.8</v>
      </c>
      <c r="AE2">
        <v>0</v>
      </c>
      <c r="AF2">
        <v>0</v>
      </c>
      <c r="AG2">
        <v>0</v>
      </c>
      <c r="AH2">
        <v>7.8</v>
      </c>
      <c r="AI2">
        <v>1</v>
      </c>
      <c r="AJ2">
        <v>1</v>
      </c>
      <c r="AK2">
        <v>1</v>
      </c>
      <c r="AL2">
        <v>1</v>
      </c>
      <c r="AN2">
        <v>0</v>
      </c>
      <c r="AO2">
        <v>1</v>
      </c>
      <c r="AP2">
        <v>0</v>
      </c>
      <c r="AQ2">
        <v>0</v>
      </c>
      <c r="AR2">
        <v>0</v>
      </c>
      <c r="AS2" t="s">
        <v>3</v>
      </c>
      <c r="AT2">
        <v>29.52</v>
      </c>
      <c r="AU2" t="s">
        <v>3</v>
      </c>
      <c r="AV2">
        <v>1</v>
      </c>
      <c r="AW2">
        <v>2</v>
      </c>
      <c r="AX2">
        <v>49291451</v>
      </c>
      <c r="AY2">
        <v>1</v>
      </c>
      <c r="AZ2">
        <v>0</v>
      </c>
      <c r="BA2">
        <v>2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CX2">
        <f>Y2*Source!I29</f>
        <v>621.14508000000001</v>
      </c>
      <c r="CY2">
        <f t="shared" si="0"/>
        <v>7.8</v>
      </c>
      <c r="CZ2">
        <f t="shared" si="1"/>
        <v>7.8</v>
      </c>
      <c r="DA2">
        <f t="shared" si="2"/>
        <v>1</v>
      </c>
      <c r="DB2">
        <f>ROUND(ROUND(AT2*CZ2,2),6)</f>
        <v>230.26</v>
      </c>
      <c r="DC2">
        <f>ROUND(ROUND(AT2*AG2,2),6)</f>
        <v>0</v>
      </c>
    </row>
    <row r="3" spans="1:107" x14ac:dyDescent="0.2">
      <c r="A3">
        <f>ROW(Source!A30)</f>
        <v>30</v>
      </c>
      <c r="B3">
        <v>49290729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W3">
        <v>0</v>
      </c>
      <c r="X3">
        <v>735429535</v>
      </c>
      <c r="Y3">
        <v>51.801400000000001</v>
      </c>
      <c r="AA3">
        <v>0</v>
      </c>
      <c r="AB3">
        <v>0</v>
      </c>
      <c r="AC3">
        <v>0</v>
      </c>
      <c r="AD3">
        <v>7.8</v>
      </c>
      <c r="AE3">
        <v>0</v>
      </c>
      <c r="AF3">
        <v>0</v>
      </c>
      <c r="AG3">
        <v>0</v>
      </c>
      <c r="AH3">
        <v>7.8</v>
      </c>
      <c r="AI3">
        <v>1</v>
      </c>
      <c r="AJ3">
        <v>1</v>
      </c>
      <c r="AK3">
        <v>1</v>
      </c>
      <c r="AL3">
        <v>1</v>
      </c>
      <c r="AN3">
        <v>0</v>
      </c>
      <c r="AO3">
        <v>1</v>
      </c>
      <c r="AP3">
        <v>1</v>
      </c>
      <c r="AQ3">
        <v>0</v>
      </c>
      <c r="AR3">
        <v>0</v>
      </c>
      <c r="AS3" t="s">
        <v>3</v>
      </c>
      <c r="AT3">
        <v>22.82</v>
      </c>
      <c r="AU3" t="s">
        <v>27</v>
      </c>
      <c r="AV3">
        <v>1</v>
      </c>
      <c r="AW3">
        <v>2</v>
      </c>
      <c r="AX3">
        <v>49292388</v>
      </c>
      <c r="AY3">
        <v>1</v>
      </c>
      <c r="AZ3">
        <v>0</v>
      </c>
      <c r="BA3">
        <v>3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CX3">
        <f>Y3*Source!I30</f>
        <v>1089.9791580999999</v>
      </c>
      <c r="CY3">
        <f t="shared" si="0"/>
        <v>7.8</v>
      </c>
      <c r="CZ3">
        <f t="shared" si="1"/>
        <v>7.8</v>
      </c>
      <c r="DA3">
        <f t="shared" si="2"/>
        <v>1</v>
      </c>
      <c r="DB3">
        <f>ROUND((ROUND(AT3*CZ3,2)*2.27),6)</f>
        <v>404.06</v>
      </c>
      <c r="DC3">
        <f>ROUND((ROUND(AT3*AG3,2)*2.27),6)</f>
        <v>0</v>
      </c>
    </row>
    <row r="4" spans="1:107" x14ac:dyDescent="0.2">
      <c r="A4">
        <f>ROW(Source!A31)</f>
        <v>31</v>
      </c>
      <c r="B4">
        <v>49290730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W4">
        <v>0</v>
      </c>
      <c r="X4">
        <v>735429535</v>
      </c>
      <c r="Y4">
        <v>51.801400000000001</v>
      </c>
      <c r="AA4">
        <v>0</v>
      </c>
      <c r="AB4">
        <v>0</v>
      </c>
      <c r="AC4">
        <v>0</v>
      </c>
      <c r="AD4">
        <v>7.8</v>
      </c>
      <c r="AE4">
        <v>0</v>
      </c>
      <c r="AF4">
        <v>0</v>
      </c>
      <c r="AG4">
        <v>0</v>
      </c>
      <c r="AH4">
        <v>7.8</v>
      </c>
      <c r="AI4">
        <v>1</v>
      </c>
      <c r="AJ4">
        <v>1</v>
      </c>
      <c r="AK4">
        <v>1</v>
      </c>
      <c r="AL4">
        <v>1</v>
      </c>
      <c r="AN4">
        <v>0</v>
      </c>
      <c r="AO4">
        <v>1</v>
      </c>
      <c r="AP4">
        <v>1</v>
      </c>
      <c r="AQ4">
        <v>0</v>
      </c>
      <c r="AR4">
        <v>0</v>
      </c>
      <c r="AS4" t="s">
        <v>3</v>
      </c>
      <c r="AT4">
        <v>22.82</v>
      </c>
      <c r="AU4" t="s">
        <v>27</v>
      </c>
      <c r="AV4">
        <v>1</v>
      </c>
      <c r="AW4">
        <v>2</v>
      </c>
      <c r="AX4">
        <v>49292388</v>
      </c>
      <c r="AY4">
        <v>1</v>
      </c>
      <c r="AZ4">
        <v>0</v>
      </c>
      <c r="BA4">
        <v>4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CX4">
        <f>Y4*Source!I31</f>
        <v>1089.9791580999999</v>
      </c>
      <c r="CY4">
        <f t="shared" si="0"/>
        <v>7.8</v>
      </c>
      <c r="CZ4">
        <f t="shared" si="1"/>
        <v>7.8</v>
      </c>
      <c r="DA4">
        <f t="shared" si="2"/>
        <v>1</v>
      </c>
      <c r="DB4">
        <f>ROUND((ROUND(AT4*CZ4,2)*2.27),6)</f>
        <v>404.06</v>
      </c>
      <c r="DC4">
        <f>ROUND((ROUND(AT4*AG4,2)*2.27),6)</f>
        <v>0</v>
      </c>
    </row>
    <row r="5" spans="1:107" x14ac:dyDescent="0.2">
      <c r="A5">
        <f>ROW(Source!A32)</f>
        <v>32</v>
      </c>
      <c r="B5">
        <v>49290729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W5">
        <v>0</v>
      </c>
      <c r="X5">
        <v>-1027537862</v>
      </c>
      <c r="Y5">
        <v>17.486000000000001</v>
      </c>
      <c r="AA5">
        <v>0</v>
      </c>
      <c r="AB5">
        <v>0</v>
      </c>
      <c r="AC5">
        <v>0</v>
      </c>
      <c r="AD5">
        <v>9.18</v>
      </c>
      <c r="AE5">
        <v>0</v>
      </c>
      <c r="AF5">
        <v>0</v>
      </c>
      <c r="AG5">
        <v>0</v>
      </c>
      <c r="AH5">
        <v>9.18</v>
      </c>
      <c r="AI5">
        <v>1</v>
      </c>
      <c r="AJ5">
        <v>1</v>
      </c>
      <c r="AK5">
        <v>1</v>
      </c>
      <c r="AL5">
        <v>1</v>
      </c>
      <c r="AN5">
        <v>0</v>
      </c>
      <c r="AO5">
        <v>1</v>
      </c>
      <c r="AP5">
        <v>1</v>
      </c>
      <c r="AQ5">
        <v>0</v>
      </c>
      <c r="AR5">
        <v>0</v>
      </c>
      <c r="AS5" t="s">
        <v>3</v>
      </c>
      <c r="AT5">
        <v>24.98</v>
      </c>
      <c r="AU5" t="s">
        <v>34</v>
      </c>
      <c r="AV5">
        <v>1</v>
      </c>
      <c r="AW5">
        <v>2</v>
      </c>
      <c r="AX5">
        <v>49292394</v>
      </c>
      <c r="AY5">
        <v>1</v>
      </c>
      <c r="AZ5">
        <v>0</v>
      </c>
      <c r="BA5">
        <v>5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CX5">
        <f>Y5*Source!I32</f>
        <v>367.931669</v>
      </c>
      <c r="CY5">
        <f t="shared" si="0"/>
        <v>9.18</v>
      </c>
      <c r="CZ5">
        <f t="shared" si="1"/>
        <v>9.18</v>
      </c>
      <c r="DA5">
        <f t="shared" si="2"/>
        <v>1</v>
      </c>
      <c r="DB5">
        <f>ROUND((ROUND(AT5*CZ5,2)*0.7),6)</f>
        <v>160.524</v>
      </c>
      <c r="DC5">
        <f>ROUND((ROUND(AT5*AG5,2)*0.7),6)</f>
        <v>0</v>
      </c>
    </row>
    <row r="6" spans="1:107" x14ac:dyDescent="0.2">
      <c r="A6">
        <f>ROW(Source!A32)</f>
        <v>32</v>
      </c>
      <c r="B6">
        <v>49290729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W6">
        <v>0</v>
      </c>
      <c r="X6">
        <v>-1417349443</v>
      </c>
      <c r="Y6">
        <v>0.21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1</v>
      </c>
      <c r="AJ6">
        <v>1</v>
      </c>
      <c r="AK6">
        <v>1</v>
      </c>
      <c r="AL6">
        <v>1</v>
      </c>
      <c r="AN6">
        <v>0</v>
      </c>
      <c r="AO6">
        <v>1</v>
      </c>
      <c r="AP6">
        <v>0</v>
      </c>
      <c r="AQ6">
        <v>0</v>
      </c>
      <c r="AR6">
        <v>0</v>
      </c>
      <c r="AS6" t="s">
        <v>3</v>
      </c>
      <c r="AT6">
        <v>0.21</v>
      </c>
      <c r="AU6" t="s">
        <v>3</v>
      </c>
      <c r="AV6">
        <v>2</v>
      </c>
      <c r="AW6">
        <v>2</v>
      </c>
      <c r="AX6">
        <v>49292395</v>
      </c>
      <c r="AY6">
        <v>1</v>
      </c>
      <c r="AZ6">
        <v>2048</v>
      </c>
      <c r="BA6">
        <v>6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CX6">
        <f>Y6*Source!I32</f>
        <v>4.4187149999999997</v>
      </c>
      <c r="CY6">
        <f t="shared" si="0"/>
        <v>0</v>
      </c>
      <c r="CZ6">
        <f t="shared" si="1"/>
        <v>0</v>
      </c>
      <c r="DA6">
        <f t="shared" si="2"/>
        <v>1</v>
      </c>
      <c r="DB6">
        <f>ROUND(ROUND(AT6*CZ6,2),6)</f>
        <v>0</v>
      </c>
      <c r="DC6">
        <f>ROUND(ROUND(AT6*AG6,2),6)</f>
        <v>0</v>
      </c>
    </row>
    <row r="7" spans="1:107" x14ac:dyDescent="0.2">
      <c r="A7">
        <f>ROW(Source!A32)</f>
        <v>32</v>
      </c>
      <c r="B7">
        <v>49290729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W7">
        <v>0</v>
      </c>
      <c r="X7">
        <v>1225731627</v>
      </c>
      <c r="Y7">
        <v>5.6000000000000001E-2</v>
      </c>
      <c r="AA7">
        <v>0</v>
      </c>
      <c r="AB7">
        <v>89.99</v>
      </c>
      <c r="AC7">
        <v>10.06</v>
      </c>
      <c r="AD7">
        <v>0</v>
      </c>
      <c r="AE7">
        <v>0</v>
      </c>
      <c r="AF7">
        <v>89.99</v>
      </c>
      <c r="AG7">
        <v>10.06</v>
      </c>
      <c r="AH7">
        <v>0</v>
      </c>
      <c r="AI7">
        <v>1</v>
      </c>
      <c r="AJ7">
        <v>1</v>
      </c>
      <c r="AK7">
        <v>1</v>
      </c>
      <c r="AL7">
        <v>1</v>
      </c>
      <c r="AN7">
        <v>0</v>
      </c>
      <c r="AO7">
        <v>1</v>
      </c>
      <c r="AP7">
        <v>1</v>
      </c>
      <c r="AQ7">
        <v>0</v>
      </c>
      <c r="AR7">
        <v>0</v>
      </c>
      <c r="AS7" t="s">
        <v>3</v>
      </c>
      <c r="AT7">
        <v>0.08</v>
      </c>
      <c r="AU7" t="s">
        <v>34</v>
      </c>
      <c r="AV7">
        <v>0</v>
      </c>
      <c r="AW7">
        <v>2</v>
      </c>
      <c r="AX7">
        <v>49292396</v>
      </c>
      <c r="AY7">
        <v>1</v>
      </c>
      <c r="AZ7">
        <v>0</v>
      </c>
      <c r="BA7">
        <v>7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CX7">
        <f>Y7*Source!I32</f>
        <v>1.1783239999999999</v>
      </c>
      <c r="CY7">
        <f>AB7</f>
        <v>89.99</v>
      </c>
      <c r="CZ7">
        <f>AF7</f>
        <v>89.99</v>
      </c>
      <c r="DA7">
        <f>AJ7</f>
        <v>1</v>
      </c>
      <c r="DB7">
        <f>ROUND((ROUND(AT7*CZ7,2)*0.7),6)</f>
        <v>5.04</v>
      </c>
      <c r="DC7">
        <f>ROUND((ROUND(AT7*AG7,2)*0.7),6)</f>
        <v>0.56000000000000005</v>
      </c>
    </row>
    <row r="8" spans="1:107" x14ac:dyDescent="0.2">
      <c r="A8">
        <f>ROW(Source!A32)</f>
        <v>32</v>
      </c>
      <c r="B8">
        <v>49290729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W8">
        <v>0</v>
      </c>
      <c r="X8">
        <v>1188625873</v>
      </c>
      <c r="Y8">
        <v>9.0999999999999998E-2</v>
      </c>
      <c r="AA8">
        <v>0</v>
      </c>
      <c r="AB8">
        <v>31.26</v>
      </c>
      <c r="AC8">
        <v>13.5</v>
      </c>
      <c r="AD8">
        <v>0</v>
      </c>
      <c r="AE8">
        <v>0</v>
      </c>
      <c r="AF8">
        <v>31.26</v>
      </c>
      <c r="AG8">
        <v>13.5</v>
      </c>
      <c r="AH8">
        <v>0</v>
      </c>
      <c r="AI8">
        <v>1</v>
      </c>
      <c r="AJ8">
        <v>1</v>
      </c>
      <c r="AK8">
        <v>1</v>
      </c>
      <c r="AL8">
        <v>1</v>
      </c>
      <c r="AN8">
        <v>0</v>
      </c>
      <c r="AO8">
        <v>1</v>
      </c>
      <c r="AP8">
        <v>1</v>
      </c>
      <c r="AQ8">
        <v>0</v>
      </c>
      <c r="AR8">
        <v>0</v>
      </c>
      <c r="AS8" t="s">
        <v>3</v>
      </c>
      <c r="AT8">
        <v>0.13</v>
      </c>
      <c r="AU8" t="s">
        <v>34</v>
      </c>
      <c r="AV8">
        <v>0</v>
      </c>
      <c r="AW8">
        <v>2</v>
      </c>
      <c r="AX8">
        <v>49292397</v>
      </c>
      <c r="AY8">
        <v>1</v>
      </c>
      <c r="AZ8">
        <v>0</v>
      </c>
      <c r="BA8">
        <v>8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CX8">
        <f>Y8*Source!I32</f>
        <v>1.9147764999999999</v>
      </c>
      <c r="CY8">
        <f>AB8</f>
        <v>31.26</v>
      </c>
      <c r="CZ8">
        <f>AF8</f>
        <v>31.26</v>
      </c>
      <c r="DA8">
        <f>AJ8</f>
        <v>1</v>
      </c>
      <c r="DB8">
        <f>ROUND((ROUND(AT8*CZ8,2)*0.7),6)</f>
        <v>2.8420000000000001</v>
      </c>
      <c r="DC8">
        <f>ROUND((ROUND(AT8*AG8,2)*0.7),6)</f>
        <v>1.232</v>
      </c>
    </row>
    <row r="9" spans="1:107" x14ac:dyDescent="0.2">
      <c r="A9">
        <f>ROW(Source!A32)</f>
        <v>32</v>
      </c>
      <c r="B9">
        <v>49290729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W9">
        <v>0</v>
      </c>
      <c r="X9">
        <v>1691761995</v>
      </c>
      <c r="Y9">
        <v>0</v>
      </c>
      <c r="AA9">
        <v>6500</v>
      </c>
      <c r="AB9">
        <v>0</v>
      </c>
      <c r="AC9">
        <v>0</v>
      </c>
      <c r="AD9">
        <v>0</v>
      </c>
      <c r="AE9">
        <v>6500</v>
      </c>
      <c r="AF9">
        <v>0</v>
      </c>
      <c r="AG9">
        <v>0</v>
      </c>
      <c r="AH9">
        <v>0</v>
      </c>
      <c r="AI9">
        <v>1</v>
      </c>
      <c r="AJ9">
        <v>1</v>
      </c>
      <c r="AK9">
        <v>1</v>
      </c>
      <c r="AL9">
        <v>1</v>
      </c>
      <c r="AN9">
        <v>0</v>
      </c>
      <c r="AO9">
        <v>1</v>
      </c>
      <c r="AP9">
        <v>1</v>
      </c>
      <c r="AQ9">
        <v>0</v>
      </c>
      <c r="AR9">
        <v>0</v>
      </c>
      <c r="AS9" t="s">
        <v>3</v>
      </c>
      <c r="AT9">
        <v>1.2999999999999999E-3</v>
      </c>
      <c r="AU9" t="s">
        <v>33</v>
      </c>
      <c r="AV9">
        <v>0</v>
      </c>
      <c r="AW9">
        <v>2</v>
      </c>
      <c r="AX9">
        <v>49292398</v>
      </c>
      <c r="AY9">
        <v>1</v>
      </c>
      <c r="AZ9">
        <v>0</v>
      </c>
      <c r="BA9">
        <v>9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CX9">
        <f>Y9*Source!I32</f>
        <v>0</v>
      </c>
      <c r="CY9">
        <f>AA9</f>
        <v>6500</v>
      </c>
      <c r="CZ9">
        <f>AE9</f>
        <v>6500</v>
      </c>
      <c r="DA9">
        <f>AI9</f>
        <v>1</v>
      </c>
      <c r="DB9">
        <f>ROUND((ROUND(AT9*CZ9,2)*0),6)</f>
        <v>0</v>
      </c>
      <c r="DC9">
        <f>ROUND((ROUND(AT9*AG9,2)*0),6)</f>
        <v>0</v>
      </c>
    </row>
    <row r="10" spans="1:107" x14ac:dyDescent="0.2">
      <c r="A10">
        <f>ROW(Source!A32)</f>
        <v>32</v>
      </c>
      <c r="B10">
        <v>49290729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W10">
        <v>0</v>
      </c>
      <c r="X10">
        <v>-1396314973</v>
      </c>
      <c r="Y10">
        <v>0</v>
      </c>
      <c r="AA10">
        <v>4455.2</v>
      </c>
      <c r="AB10">
        <v>0</v>
      </c>
      <c r="AC10">
        <v>0</v>
      </c>
      <c r="AD10">
        <v>0</v>
      </c>
      <c r="AE10">
        <v>4455.2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N10">
        <v>0</v>
      </c>
      <c r="AO10">
        <v>1</v>
      </c>
      <c r="AP10">
        <v>1</v>
      </c>
      <c r="AQ10">
        <v>0</v>
      </c>
      <c r="AR10">
        <v>0</v>
      </c>
      <c r="AS10" t="s">
        <v>3</v>
      </c>
      <c r="AT10">
        <v>0.36</v>
      </c>
      <c r="AU10" t="s">
        <v>33</v>
      </c>
      <c r="AV10">
        <v>0</v>
      </c>
      <c r="AW10">
        <v>2</v>
      </c>
      <c r="AX10">
        <v>49292399</v>
      </c>
      <c r="AY10">
        <v>1</v>
      </c>
      <c r="AZ10">
        <v>0</v>
      </c>
      <c r="BA10">
        <v>10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CX10">
        <f>Y10*Source!I32</f>
        <v>0</v>
      </c>
      <c r="CY10">
        <f>AA10</f>
        <v>4455.2</v>
      </c>
      <c r="CZ10">
        <f>AE10</f>
        <v>4455.2</v>
      </c>
      <c r="DA10">
        <f>AI10</f>
        <v>1</v>
      </c>
      <c r="DB10">
        <f>ROUND((ROUND(AT10*CZ10,2)*0),6)</f>
        <v>0</v>
      </c>
      <c r="DC10">
        <f>ROUND((ROUND(AT10*AG10,2)*0),6)</f>
        <v>0</v>
      </c>
    </row>
    <row r="11" spans="1:107" x14ac:dyDescent="0.2">
      <c r="A11">
        <f>ROW(Source!A33)</f>
        <v>33</v>
      </c>
      <c r="B11">
        <v>49290730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W11">
        <v>0</v>
      </c>
      <c r="X11">
        <v>-1027537862</v>
      </c>
      <c r="Y11">
        <v>17.486000000000001</v>
      </c>
      <c r="AA11">
        <v>0</v>
      </c>
      <c r="AB11">
        <v>0</v>
      </c>
      <c r="AC11">
        <v>0</v>
      </c>
      <c r="AD11">
        <v>9.18</v>
      </c>
      <c r="AE11">
        <v>0</v>
      </c>
      <c r="AF11">
        <v>0</v>
      </c>
      <c r="AG11">
        <v>0</v>
      </c>
      <c r="AH11">
        <v>9.18</v>
      </c>
      <c r="AI11">
        <v>1</v>
      </c>
      <c r="AJ11">
        <v>1</v>
      </c>
      <c r="AK11">
        <v>1</v>
      </c>
      <c r="AL11">
        <v>1</v>
      </c>
      <c r="AN11">
        <v>0</v>
      </c>
      <c r="AO11">
        <v>1</v>
      </c>
      <c r="AP11">
        <v>1</v>
      </c>
      <c r="AQ11">
        <v>0</v>
      </c>
      <c r="AR11">
        <v>0</v>
      </c>
      <c r="AS11" t="s">
        <v>3</v>
      </c>
      <c r="AT11">
        <v>24.98</v>
      </c>
      <c r="AU11" t="s">
        <v>34</v>
      </c>
      <c r="AV11">
        <v>1</v>
      </c>
      <c r="AW11">
        <v>2</v>
      </c>
      <c r="AX11">
        <v>49292394</v>
      </c>
      <c r="AY11">
        <v>1</v>
      </c>
      <c r="AZ11">
        <v>0</v>
      </c>
      <c r="BA11">
        <v>11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CX11">
        <f>Y11*Source!I33</f>
        <v>367.931669</v>
      </c>
      <c r="CY11">
        <f>AD11</f>
        <v>9.18</v>
      </c>
      <c r="CZ11">
        <f>AH11</f>
        <v>9.18</v>
      </c>
      <c r="DA11">
        <f>AL11</f>
        <v>1</v>
      </c>
      <c r="DB11">
        <f>ROUND((ROUND(AT11*CZ11,2)*0.7),6)</f>
        <v>160.524</v>
      </c>
      <c r="DC11">
        <f>ROUND((ROUND(AT11*AG11,2)*0.7),6)</f>
        <v>0</v>
      </c>
    </row>
    <row r="12" spans="1:107" x14ac:dyDescent="0.2">
      <c r="A12">
        <f>ROW(Source!A33)</f>
        <v>33</v>
      </c>
      <c r="B12">
        <v>49290730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W12">
        <v>0</v>
      </c>
      <c r="X12">
        <v>-1417349443</v>
      </c>
      <c r="Y12">
        <v>0.21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1</v>
      </c>
      <c r="AL12">
        <v>1</v>
      </c>
      <c r="AN12">
        <v>0</v>
      </c>
      <c r="AO12">
        <v>1</v>
      </c>
      <c r="AP12">
        <v>0</v>
      </c>
      <c r="AQ12">
        <v>0</v>
      </c>
      <c r="AR12">
        <v>0</v>
      </c>
      <c r="AS12" t="s">
        <v>3</v>
      </c>
      <c r="AT12">
        <v>0.21</v>
      </c>
      <c r="AU12" t="s">
        <v>3</v>
      </c>
      <c r="AV12">
        <v>2</v>
      </c>
      <c r="AW12">
        <v>2</v>
      </c>
      <c r="AX12">
        <v>49292395</v>
      </c>
      <c r="AY12">
        <v>1</v>
      </c>
      <c r="AZ12">
        <v>2048</v>
      </c>
      <c r="BA12">
        <v>12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CX12">
        <f>Y12*Source!I33</f>
        <v>4.4187149999999997</v>
      </c>
      <c r="CY12">
        <f>AD12</f>
        <v>0</v>
      </c>
      <c r="CZ12">
        <f>AH12</f>
        <v>0</v>
      </c>
      <c r="DA12">
        <f>AL12</f>
        <v>1</v>
      </c>
      <c r="DB12">
        <f>ROUND(ROUND(AT12*CZ12,2),6)</f>
        <v>0</v>
      </c>
      <c r="DC12">
        <f>ROUND(ROUND(AT12*AG12,2),6)</f>
        <v>0</v>
      </c>
    </row>
    <row r="13" spans="1:107" x14ac:dyDescent="0.2">
      <c r="A13">
        <f>ROW(Source!A33)</f>
        <v>33</v>
      </c>
      <c r="B13">
        <v>49290730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W13">
        <v>0</v>
      </c>
      <c r="X13">
        <v>1225731627</v>
      </c>
      <c r="Y13">
        <v>5.6000000000000001E-2</v>
      </c>
      <c r="AA13">
        <v>0</v>
      </c>
      <c r="AB13">
        <v>634.42999999999995</v>
      </c>
      <c r="AC13">
        <v>304.20999999999998</v>
      </c>
      <c r="AD13">
        <v>0</v>
      </c>
      <c r="AE13">
        <v>0</v>
      </c>
      <c r="AF13">
        <v>89.99</v>
      </c>
      <c r="AG13">
        <v>10.06</v>
      </c>
      <c r="AH13">
        <v>0</v>
      </c>
      <c r="AI13">
        <v>1</v>
      </c>
      <c r="AJ13">
        <v>7.05</v>
      </c>
      <c r="AK13">
        <v>30.24</v>
      </c>
      <c r="AL13">
        <v>1</v>
      </c>
      <c r="AN13">
        <v>0</v>
      </c>
      <c r="AO13">
        <v>1</v>
      </c>
      <c r="AP13">
        <v>1</v>
      </c>
      <c r="AQ13">
        <v>0</v>
      </c>
      <c r="AR13">
        <v>0</v>
      </c>
      <c r="AS13" t="s">
        <v>3</v>
      </c>
      <c r="AT13">
        <v>0.08</v>
      </c>
      <c r="AU13" t="s">
        <v>34</v>
      </c>
      <c r="AV13">
        <v>0</v>
      </c>
      <c r="AW13">
        <v>2</v>
      </c>
      <c r="AX13">
        <v>49292396</v>
      </c>
      <c r="AY13">
        <v>1</v>
      </c>
      <c r="AZ13">
        <v>0</v>
      </c>
      <c r="BA13">
        <v>13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CX13">
        <f>Y13*Source!I33</f>
        <v>1.1783239999999999</v>
      </c>
      <c r="CY13">
        <f>AB13</f>
        <v>634.42999999999995</v>
      </c>
      <c r="CZ13">
        <f>AF13</f>
        <v>89.99</v>
      </c>
      <c r="DA13">
        <f>AJ13</f>
        <v>7.05</v>
      </c>
      <c r="DB13">
        <f>ROUND((ROUND(AT13*CZ13,2)*0.7),6)</f>
        <v>5.04</v>
      </c>
      <c r="DC13">
        <f>ROUND((ROUND(AT13*AG13,2)*0.7),6)</f>
        <v>0.56000000000000005</v>
      </c>
    </row>
    <row r="14" spans="1:107" x14ac:dyDescent="0.2">
      <c r="A14">
        <f>ROW(Source!A33)</f>
        <v>33</v>
      </c>
      <c r="B14">
        <v>49290730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W14">
        <v>0</v>
      </c>
      <c r="X14">
        <v>1188625873</v>
      </c>
      <c r="Y14">
        <v>9.0999999999999998E-2</v>
      </c>
      <c r="AA14">
        <v>0</v>
      </c>
      <c r="AB14">
        <v>422.01</v>
      </c>
      <c r="AC14">
        <v>408.24</v>
      </c>
      <c r="AD14">
        <v>0</v>
      </c>
      <c r="AE14">
        <v>0</v>
      </c>
      <c r="AF14">
        <v>31.26</v>
      </c>
      <c r="AG14">
        <v>13.5</v>
      </c>
      <c r="AH14">
        <v>0</v>
      </c>
      <c r="AI14">
        <v>1</v>
      </c>
      <c r="AJ14">
        <v>13.5</v>
      </c>
      <c r="AK14">
        <v>30.24</v>
      </c>
      <c r="AL14">
        <v>1</v>
      </c>
      <c r="AN14">
        <v>0</v>
      </c>
      <c r="AO14">
        <v>1</v>
      </c>
      <c r="AP14">
        <v>1</v>
      </c>
      <c r="AQ14">
        <v>0</v>
      </c>
      <c r="AR14">
        <v>0</v>
      </c>
      <c r="AS14" t="s">
        <v>3</v>
      </c>
      <c r="AT14">
        <v>0.13</v>
      </c>
      <c r="AU14" t="s">
        <v>34</v>
      </c>
      <c r="AV14">
        <v>0</v>
      </c>
      <c r="AW14">
        <v>2</v>
      </c>
      <c r="AX14">
        <v>49292397</v>
      </c>
      <c r="AY14">
        <v>1</v>
      </c>
      <c r="AZ14">
        <v>0</v>
      </c>
      <c r="BA14">
        <v>14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CX14">
        <f>Y14*Source!I33</f>
        <v>1.9147764999999999</v>
      </c>
      <c r="CY14">
        <f>AB14</f>
        <v>422.01</v>
      </c>
      <c r="CZ14">
        <f>AF14</f>
        <v>31.26</v>
      </c>
      <c r="DA14">
        <f>AJ14</f>
        <v>13.5</v>
      </c>
      <c r="DB14">
        <f>ROUND((ROUND(AT14*CZ14,2)*0.7),6)</f>
        <v>2.8420000000000001</v>
      </c>
      <c r="DC14">
        <f>ROUND((ROUND(AT14*AG14,2)*0.7),6)</f>
        <v>1.232</v>
      </c>
    </row>
    <row r="15" spans="1:107" x14ac:dyDescent="0.2">
      <c r="A15">
        <f>ROW(Source!A33)</f>
        <v>33</v>
      </c>
      <c r="B15">
        <v>49290730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W15">
        <v>0</v>
      </c>
      <c r="X15">
        <v>1691761995</v>
      </c>
      <c r="Y15">
        <v>0</v>
      </c>
      <c r="AA15">
        <v>48165</v>
      </c>
      <c r="AB15">
        <v>0</v>
      </c>
      <c r="AC15">
        <v>0</v>
      </c>
      <c r="AD15">
        <v>0</v>
      </c>
      <c r="AE15">
        <v>6500</v>
      </c>
      <c r="AF15">
        <v>0</v>
      </c>
      <c r="AG15">
        <v>0</v>
      </c>
      <c r="AH15">
        <v>0</v>
      </c>
      <c r="AI15">
        <v>7.41</v>
      </c>
      <c r="AJ15">
        <v>1</v>
      </c>
      <c r="AK15">
        <v>1</v>
      </c>
      <c r="AL15">
        <v>1</v>
      </c>
      <c r="AN15">
        <v>0</v>
      </c>
      <c r="AO15">
        <v>1</v>
      </c>
      <c r="AP15">
        <v>1</v>
      </c>
      <c r="AQ15">
        <v>0</v>
      </c>
      <c r="AR15">
        <v>0</v>
      </c>
      <c r="AS15" t="s">
        <v>3</v>
      </c>
      <c r="AT15">
        <v>1.2999999999999999E-3</v>
      </c>
      <c r="AU15" t="s">
        <v>33</v>
      </c>
      <c r="AV15">
        <v>0</v>
      </c>
      <c r="AW15">
        <v>2</v>
      </c>
      <c r="AX15">
        <v>49292398</v>
      </c>
      <c r="AY15">
        <v>1</v>
      </c>
      <c r="AZ15">
        <v>0</v>
      </c>
      <c r="BA15">
        <v>15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CX15">
        <f>Y15*Source!I33</f>
        <v>0</v>
      </c>
      <c r="CY15">
        <f>AA15</f>
        <v>48165</v>
      </c>
      <c r="CZ15">
        <f>AE15</f>
        <v>6500</v>
      </c>
      <c r="DA15">
        <f>AI15</f>
        <v>7.41</v>
      </c>
      <c r="DB15">
        <f>ROUND((ROUND(AT15*CZ15,2)*0),6)</f>
        <v>0</v>
      </c>
      <c r="DC15">
        <f>ROUND((ROUND(AT15*AG15,2)*0),6)</f>
        <v>0</v>
      </c>
    </row>
    <row r="16" spans="1:107" x14ac:dyDescent="0.2">
      <c r="A16">
        <f>ROW(Source!A33)</f>
        <v>33</v>
      </c>
      <c r="B16">
        <v>49290730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W16">
        <v>0</v>
      </c>
      <c r="X16">
        <v>-1396314973</v>
      </c>
      <c r="Y16">
        <v>0</v>
      </c>
      <c r="AA16">
        <v>37468.230000000003</v>
      </c>
      <c r="AB16">
        <v>0</v>
      </c>
      <c r="AC16">
        <v>0</v>
      </c>
      <c r="AD16">
        <v>0</v>
      </c>
      <c r="AE16">
        <v>4455.2</v>
      </c>
      <c r="AF16">
        <v>0</v>
      </c>
      <c r="AG16">
        <v>0</v>
      </c>
      <c r="AH16">
        <v>0</v>
      </c>
      <c r="AI16">
        <v>8.41</v>
      </c>
      <c r="AJ16">
        <v>1</v>
      </c>
      <c r="AK16">
        <v>1</v>
      </c>
      <c r="AL16">
        <v>1</v>
      </c>
      <c r="AN16">
        <v>0</v>
      </c>
      <c r="AO16">
        <v>1</v>
      </c>
      <c r="AP16">
        <v>1</v>
      </c>
      <c r="AQ16">
        <v>0</v>
      </c>
      <c r="AR16">
        <v>0</v>
      </c>
      <c r="AS16" t="s">
        <v>3</v>
      </c>
      <c r="AT16">
        <v>0.36</v>
      </c>
      <c r="AU16" t="s">
        <v>33</v>
      </c>
      <c r="AV16">
        <v>0</v>
      </c>
      <c r="AW16">
        <v>2</v>
      </c>
      <c r="AX16">
        <v>49292399</v>
      </c>
      <c r="AY16">
        <v>1</v>
      </c>
      <c r="AZ16">
        <v>0</v>
      </c>
      <c r="BA16">
        <v>16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CX16">
        <f>Y16*Source!I33</f>
        <v>0</v>
      </c>
      <c r="CY16">
        <f>AA16</f>
        <v>37468.230000000003</v>
      </c>
      <c r="CZ16">
        <f>AE16</f>
        <v>4455.2</v>
      </c>
      <c r="DA16">
        <f>AI16</f>
        <v>8.41</v>
      </c>
      <c r="DB16">
        <f>ROUND((ROUND(AT16*CZ16,2)*0),6)</f>
        <v>0</v>
      </c>
      <c r="DC16">
        <f>ROUND((ROUND(AT16*AG16,2)*0),6)</f>
        <v>0</v>
      </c>
    </row>
    <row r="17" spans="1:107" x14ac:dyDescent="0.2">
      <c r="A17">
        <f>ROW(Source!A68)</f>
        <v>68</v>
      </c>
      <c r="B17">
        <v>49290729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W17">
        <v>0</v>
      </c>
      <c r="X17">
        <v>735429535</v>
      </c>
      <c r="Y17">
        <v>29.52</v>
      </c>
      <c r="AA17">
        <v>0</v>
      </c>
      <c r="AB17">
        <v>0</v>
      </c>
      <c r="AC17">
        <v>0</v>
      </c>
      <c r="AD17">
        <v>7.8</v>
      </c>
      <c r="AE17">
        <v>0</v>
      </c>
      <c r="AF17">
        <v>0</v>
      </c>
      <c r="AG17">
        <v>0</v>
      </c>
      <c r="AH17">
        <v>7.8</v>
      </c>
      <c r="AI17">
        <v>1</v>
      </c>
      <c r="AJ17">
        <v>1</v>
      </c>
      <c r="AK17">
        <v>1</v>
      </c>
      <c r="AL17">
        <v>1</v>
      </c>
      <c r="AN17">
        <v>0</v>
      </c>
      <c r="AO17">
        <v>1</v>
      </c>
      <c r="AP17">
        <v>0</v>
      </c>
      <c r="AQ17">
        <v>0</v>
      </c>
      <c r="AR17">
        <v>0</v>
      </c>
      <c r="AS17" t="s">
        <v>3</v>
      </c>
      <c r="AT17">
        <v>29.52</v>
      </c>
      <c r="AU17" t="s">
        <v>3</v>
      </c>
      <c r="AV17">
        <v>1</v>
      </c>
      <c r="AW17">
        <v>2</v>
      </c>
      <c r="AX17">
        <v>49291640</v>
      </c>
      <c r="AY17">
        <v>1</v>
      </c>
      <c r="AZ17">
        <v>0</v>
      </c>
      <c r="BA17">
        <v>17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CX17">
        <f>Y17*Source!I68</f>
        <v>114.741288</v>
      </c>
      <c r="CY17">
        <f t="shared" ref="CY17:CY22" si="3">AD17</f>
        <v>7.8</v>
      </c>
      <c r="CZ17">
        <f t="shared" ref="CZ17:CZ22" si="4">AH17</f>
        <v>7.8</v>
      </c>
      <c r="DA17">
        <f t="shared" ref="DA17:DA22" si="5">AL17</f>
        <v>1</v>
      </c>
      <c r="DB17">
        <f>ROUND(ROUND(AT17*CZ17,2),6)</f>
        <v>230.26</v>
      </c>
      <c r="DC17">
        <f>ROUND(ROUND(AT17*AG17,2),6)</f>
        <v>0</v>
      </c>
    </row>
    <row r="18" spans="1:107" x14ac:dyDescent="0.2">
      <c r="A18">
        <f>ROW(Source!A69)</f>
        <v>69</v>
      </c>
      <c r="B18">
        <v>49290730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W18">
        <v>0</v>
      </c>
      <c r="X18">
        <v>735429535</v>
      </c>
      <c r="Y18">
        <v>29.52</v>
      </c>
      <c r="AA18">
        <v>0</v>
      </c>
      <c r="AB18">
        <v>0</v>
      </c>
      <c r="AC18">
        <v>0</v>
      </c>
      <c r="AD18">
        <v>7.8</v>
      </c>
      <c r="AE18">
        <v>0</v>
      </c>
      <c r="AF18">
        <v>0</v>
      </c>
      <c r="AG18">
        <v>0</v>
      </c>
      <c r="AH18">
        <v>7.8</v>
      </c>
      <c r="AI18">
        <v>1</v>
      </c>
      <c r="AJ18">
        <v>1</v>
      </c>
      <c r="AK18">
        <v>1</v>
      </c>
      <c r="AL18">
        <v>1</v>
      </c>
      <c r="AN18">
        <v>0</v>
      </c>
      <c r="AO18">
        <v>1</v>
      </c>
      <c r="AP18">
        <v>0</v>
      </c>
      <c r="AQ18">
        <v>0</v>
      </c>
      <c r="AR18">
        <v>0</v>
      </c>
      <c r="AS18" t="s">
        <v>3</v>
      </c>
      <c r="AT18">
        <v>29.52</v>
      </c>
      <c r="AU18" t="s">
        <v>3</v>
      </c>
      <c r="AV18">
        <v>1</v>
      </c>
      <c r="AW18">
        <v>2</v>
      </c>
      <c r="AX18">
        <v>49291640</v>
      </c>
      <c r="AY18">
        <v>1</v>
      </c>
      <c r="AZ18">
        <v>0</v>
      </c>
      <c r="BA18">
        <v>18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CX18">
        <f>Y18*Source!I69</f>
        <v>114.741288</v>
      </c>
      <c r="CY18">
        <f t="shared" si="3"/>
        <v>7.8</v>
      </c>
      <c r="CZ18">
        <f t="shared" si="4"/>
        <v>7.8</v>
      </c>
      <c r="DA18">
        <f t="shared" si="5"/>
        <v>1</v>
      </c>
      <c r="DB18">
        <f>ROUND(ROUND(AT18*CZ18,2),6)</f>
        <v>230.26</v>
      </c>
      <c r="DC18">
        <f>ROUND(ROUND(AT18*AG18,2),6)</f>
        <v>0</v>
      </c>
    </row>
    <row r="19" spans="1:107" x14ac:dyDescent="0.2">
      <c r="A19">
        <f>ROW(Source!A70)</f>
        <v>70</v>
      </c>
      <c r="B19">
        <v>49290729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W19">
        <v>0</v>
      </c>
      <c r="X19">
        <v>735429535</v>
      </c>
      <c r="Y19">
        <v>51.801400000000001</v>
      </c>
      <c r="AA19">
        <v>0</v>
      </c>
      <c r="AB19">
        <v>0</v>
      </c>
      <c r="AC19">
        <v>0</v>
      </c>
      <c r="AD19">
        <v>7.8</v>
      </c>
      <c r="AE19">
        <v>0</v>
      </c>
      <c r="AF19">
        <v>0</v>
      </c>
      <c r="AG19">
        <v>0</v>
      </c>
      <c r="AH19">
        <v>7.8</v>
      </c>
      <c r="AI19">
        <v>1</v>
      </c>
      <c r="AJ19">
        <v>1</v>
      </c>
      <c r="AK19">
        <v>1</v>
      </c>
      <c r="AL19">
        <v>1</v>
      </c>
      <c r="AN19">
        <v>0</v>
      </c>
      <c r="AO19">
        <v>1</v>
      </c>
      <c r="AP19">
        <v>1</v>
      </c>
      <c r="AQ19">
        <v>0</v>
      </c>
      <c r="AR19">
        <v>0</v>
      </c>
      <c r="AS19" t="s">
        <v>3</v>
      </c>
      <c r="AT19">
        <v>22.82</v>
      </c>
      <c r="AU19" t="s">
        <v>27</v>
      </c>
      <c r="AV19">
        <v>1</v>
      </c>
      <c r="AW19">
        <v>2</v>
      </c>
      <c r="AX19">
        <v>49292392</v>
      </c>
      <c r="AY19">
        <v>1</v>
      </c>
      <c r="AZ19">
        <v>0</v>
      </c>
      <c r="BA19">
        <v>19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CX19">
        <f>Y19*Source!I70</f>
        <v>201.34686166</v>
      </c>
      <c r="CY19">
        <f t="shared" si="3"/>
        <v>7.8</v>
      </c>
      <c r="CZ19">
        <f t="shared" si="4"/>
        <v>7.8</v>
      </c>
      <c r="DA19">
        <f t="shared" si="5"/>
        <v>1</v>
      </c>
      <c r="DB19">
        <f>ROUND((ROUND(AT19*CZ19,2)*2.27),6)</f>
        <v>404.06</v>
      </c>
      <c r="DC19">
        <f>ROUND((ROUND(AT19*AG19,2)*2.27),6)</f>
        <v>0</v>
      </c>
    </row>
    <row r="20" spans="1:107" x14ac:dyDescent="0.2">
      <c r="A20">
        <f>ROW(Source!A71)</f>
        <v>71</v>
      </c>
      <c r="B20">
        <v>49290730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W20">
        <v>0</v>
      </c>
      <c r="X20">
        <v>735429535</v>
      </c>
      <c r="Y20">
        <v>51.801400000000001</v>
      </c>
      <c r="AA20">
        <v>0</v>
      </c>
      <c r="AB20">
        <v>0</v>
      </c>
      <c r="AC20">
        <v>0</v>
      </c>
      <c r="AD20">
        <v>7.8</v>
      </c>
      <c r="AE20">
        <v>0</v>
      </c>
      <c r="AF20">
        <v>0</v>
      </c>
      <c r="AG20">
        <v>0</v>
      </c>
      <c r="AH20">
        <v>7.8</v>
      </c>
      <c r="AI20">
        <v>1</v>
      </c>
      <c r="AJ20">
        <v>1</v>
      </c>
      <c r="AK20">
        <v>1</v>
      </c>
      <c r="AL20">
        <v>1</v>
      </c>
      <c r="AN20">
        <v>0</v>
      </c>
      <c r="AO20">
        <v>1</v>
      </c>
      <c r="AP20">
        <v>1</v>
      </c>
      <c r="AQ20">
        <v>0</v>
      </c>
      <c r="AR20">
        <v>0</v>
      </c>
      <c r="AS20" t="s">
        <v>3</v>
      </c>
      <c r="AT20">
        <v>22.82</v>
      </c>
      <c r="AU20" t="s">
        <v>27</v>
      </c>
      <c r="AV20">
        <v>1</v>
      </c>
      <c r="AW20">
        <v>2</v>
      </c>
      <c r="AX20">
        <v>49292392</v>
      </c>
      <c r="AY20">
        <v>1</v>
      </c>
      <c r="AZ20">
        <v>0</v>
      </c>
      <c r="BA20">
        <v>20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CX20">
        <f>Y20*Source!I71</f>
        <v>201.34686166</v>
      </c>
      <c r="CY20">
        <f t="shared" si="3"/>
        <v>7.8</v>
      </c>
      <c r="CZ20">
        <f t="shared" si="4"/>
        <v>7.8</v>
      </c>
      <c r="DA20">
        <f t="shared" si="5"/>
        <v>1</v>
      </c>
      <c r="DB20">
        <f>ROUND((ROUND(AT20*CZ20,2)*2.27),6)</f>
        <v>404.06</v>
      </c>
      <c r="DC20">
        <f>ROUND((ROUND(AT20*AG20,2)*2.27),6)</f>
        <v>0</v>
      </c>
    </row>
    <row r="21" spans="1:107" x14ac:dyDescent="0.2">
      <c r="A21">
        <f>ROW(Source!A72)</f>
        <v>72</v>
      </c>
      <c r="B21">
        <v>49290729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W21">
        <v>0</v>
      </c>
      <c r="X21">
        <v>-1027537862</v>
      </c>
      <c r="Y21">
        <v>17.486000000000001</v>
      </c>
      <c r="AA21">
        <v>0</v>
      </c>
      <c r="AB21">
        <v>0</v>
      </c>
      <c r="AC21">
        <v>0</v>
      </c>
      <c r="AD21">
        <v>9.18</v>
      </c>
      <c r="AE21">
        <v>0</v>
      </c>
      <c r="AF21">
        <v>0</v>
      </c>
      <c r="AG21">
        <v>0</v>
      </c>
      <c r="AH21">
        <v>9.18</v>
      </c>
      <c r="AI21">
        <v>1</v>
      </c>
      <c r="AJ21">
        <v>1</v>
      </c>
      <c r="AK21">
        <v>1</v>
      </c>
      <c r="AL21">
        <v>1</v>
      </c>
      <c r="AN21">
        <v>0</v>
      </c>
      <c r="AO21">
        <v>1</v>
      </c>
      <c r="AP21">
        <v>1</v>
      </c>
      <c r="AQ21">
        <v>0</v>
      </c>
      <c r="AR21">
        <v>0</v>
      </c>
      <c r="AS21" t="s">
        <v>3</v>
      </c>
      <c r="AT21">
        <v>24.98</v>
      </c>
      <c r="AU21" t="s">
        <v>34</v>
      </c>
      <c r="AV21">
        <v>1</v>
      </c>
      <c r="AW21">
        <v>2</v>
      </c>
      <c r="AX21">
        <v>49292408</v>
      </c>
      <c r="AY21">
        <v>1</v>
      </c>
      <c r="AZ21">
        <v>0</v>
      </c>
      <c r="BA21">
        <v>21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CX21">
        <f>Y21*Source!I72</f>
        <v>67.966333399999996</v>
      </c>
      <c r="CY21">
        <f t="shared" si="3"/>
        <v>9.18</v>
      </c>
      <c r="CZ21">
        <f t="shared" si="4"/>
        <v>9.18</v>
      </c>
      <c r="DA21">
        <f t="shared" si="5"/>
        <v>1</v>
      </c>
      <c r="DB21">
        <f>ROUND((ROUND(AT21*CZ21,2)*0.7),6)</f>
        <v>160.524</v>
      </c>
      <c r="DC21">
        <f>ROUND((ROUND(AT21*AG21,2)*0.7),6)</f>
        <v>0</v>
      </c>
    </row>
    <row r="22" spans="1:107" x14ac:dyDescent="0.2">
      <c r="A22">
        <f>ROW(Source!A72)</f>
        <v>72</v>
      </c>
      <c r="B22">
        <v>49290729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W22">
        <v>0</v>
      </c>
      <c r="X22">
        <v>-1417349443</v>
      </c>
      <c r="Y22">
        <v>0.21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N22">
        <v>0</v>
      </c>
      <c r="AO22">
        <v>1</v>
      </c>
      <c r="AP22">
        <v>0</v>
      </c>
      <c r="AQ22">
        <v>0</v>
      </c>
      <c r="AR22">
        <v>0</v>
      </c>
      <c r="AS22" t="s">
        <v>3</v>
      </c>
      <c r="AT22">
        <v>0.21</v>
      </c>
      <c r="AU22" t="s">
        <v>3</v>
      </c>
      <c r="AV22">
        <v>2</v>
      </c>
      <c r="AW22">
        <v>2</v>
      </c>
      <c r="AX22">
        <v>49292409</v>
      </c>
      <c r="AY22">
        <v>1</v>
      </c>
      <c r="AZ22">
        <v>2048</v>
      </c>
      <c r="BA22">
        <v>22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CX22">
        <f>Y22*Source!I72</f>
        <v>0.81624899999999989</v>
      </c>
      <c r="CY22">
        <f t="shared" si="3"/>
        <v>0</v>
      </c>
      <c r="CZ22">
        <f t="shared" si="4"/>
        <v>0</v>
      </c>
      <c r="DA22">
        <f t="shared" si="5"/>
        <v>1</v>
      </c>
      <c r="DB22">
        <f>ROUND(ROUND(AT22*CZ22,2),6)</f>
        <v>0</v>
      </c>
      <c r="DC22">
        <f>ROUND(ROUND(AT22*AG22,2),6)</f>
        <v>0</v>
      </c>
    </row>
    <row r="23" spans="1:107" x14ac:dyDescent="0.2">
      <c r="A23">
        <f>ROW(Source!A72)</f>
        <v>72</v>
      </c>
      <c r="B23">
        <v>49290729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W23">
        <v>0</v>
      </c>
      <c r="X23">
        <v>-665367104</v>
      </c>
      <c r="Y23">
        <v>5.6000000000000001E-2</v>
      </c>
      <c r="AA23">
        <v>0</v>
      </c>
      <c r="AB23">
        <v>89.99</v>
      </c>
      <c r="AC23">
        <v>10.06</v>
      </c>
      <c r="AD23">
        <v>0</v>
      </c>
      <c r="AE23">
        <v>0</v>
      </c>
      <c r="AF23">
        <v>89.99</v>
      </c>
      <c r="AG23">
        <v>10.06</v>
      </c>
      <c r="AH23">
        <v>0</v>
      </c>
      <c r="AI23">
        <v>1</v>
      </c>
      <c r="AJ23">
        <v>1</v>
      </c>
      <c r="AK23">
        <v>1</v>
      </c>
      <c r="AL23">
        <v>1</v>
      </c>
      <c r="AN23">
        <v>0</v>
      </c>
      <c r="AO23">
        <v>1</v>
      </c>
      <c r="AP23">
        <v>1</v>
      </c>
      <c r="AQ23">
        <v>0</v>
      </c>
      <c r="AR23">
        <v>0</v>
      </c>
      <c r="AS23" t="s">
        <v>3</v>
      </c>
      <c r="AT23">
        <v>0.08</v>
      </c>
      <c r="AU23" t="s">
        <v>34</v>
      </c>
      <c r="AV23">
        <v>0</v>
      </c>
      <c r="AW23">
        <v>2</v>
      </c>
      <c r="AX23">
        <v>49292410</v>
      </c>
      <c r="AY23">
        <v>1</v>
      </c>
      <c r="AZ23">
        <v>0</v>
      </c>
      <c r="BA23">
        <v>23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CX23">
        <f>Y23*Source!I72</f>
        <v>0.21766639999999998</v>
      </c>
      <c r="CY23">
        <f>AB23</f>
        <v>89.99</v>
      </c>
      <c r="CZ23">
        <f>AF23</f>
        <v>89.99</v>
      </c>
      <c r="DA23">
        <f>AJ23</f>
        <v>1</v>
      </c>
      <c r="DB23">
        <f>ROUND((ROUND(AT23*CZ23,2)*0.7),6)</f>
        <v>5.04</v>
      </c>
      <c r="DC23">
        <f>ROUND((ROUND(AT23*AG23,2)*0.7),6)</f>
        <v>0.56000000000000005</v>
      </c>
    </row>
    <row r="24" spans="1:107" x14ac:dyDescent="0.2">
      <c r="A24">
        <f>ROW(Source!A72)</f>
        <v>72</v>
      </c>
      <c r="B24">
        <v>49290729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W24">
        <v>0</v>
      </c>
      <c r="X24">
        <v>1188625873</v>
      </c>
      <c r="Y24">
        <v>9.0999999999999998E-2</v>
      </c>
      <c r="AA24">
        <v>0</v>
      </c>
      <c r="AB24">
        <v>31.26</v>
      </c>
      <c r="AC24">
        <v>13.5</v>
      </c>
      <c r="AD24">
        <v>0</v>
      </c>
      <c r="AE24">
        <v>0</v>
      </c>
      <c r="AF24">
        <v>31.26</v>
      </c>
      <c r="AG24">
        <v>13.5</v>
      </c>
      <c r="AH24">
        <v>0</v>
      </c>
      <c r="AI24">
        <v>1</v>
      </c>
      <c r="AJ24">
        <v>1</v>
      </c>
      <c r="AK24">
        <v>1</v>
      </c>
      <c r="AL24">
        <v>1</v>
      </c>
      <c r="AN24">
        <v>0</v>
      </c>
      <c r="AO24">
        <v>1</v>
      </c>
      <c r="AP24">
        <v>1</v>
      </c>
      <c r="AQ24">
        <v>0</v>
      </c>
      <c r="AR24">
        <v>0</v>
      </c>
      <c r="AS24" t="s">
        <v>3</v>
      </c>
      <c r="AT24">
        <v>0.13</v>
      </c>
      <c r="AU24" t="s">
        <v>34</v>
      </c>
      <c r="AV24">
        <v>0</v>
      </c>
      <c r="AW24">
        <v>2</v>
      </c>
      <c r="AX24">
        <v>49292411</v>
      </c>
      <c r="AY24">
        <v>1</v>
      </c>
      <c r="AZ24">
        <v>0</v>
      </c>
      <c r="BA24">
        <v>24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CX24">
        <f>Y24*Source!I72</f>
        <v>0.35370789999999996</v>
      </c>
      <c r="CY24">
        <f>AB24</f>
        <v>31.26</v>
      </c>
      <c r="CZ24">
        <f>AF24</f>
        <v>31.26</v>
      </c>
      <c r="DA24">
        <f>AJ24</f>
        <v>1</v>
      </c>
      <c r="DB24">
        <f>ROUND((ROUND(AT24*CZ24,2)*0.7),6)</f>
        <v>2.8420000000000001</v>
      </c>
      <c r="DC24">
        <f>ROUND((ROUND(AT24*AG24,2)*0.7),6)</f>
        <v>1.232</v>
      </c>
    </row>
    <row r="25" spans="1:107" x14ac:dyDescent="0.2">
      <c r="A25">
        <f>ROW(Source!A72)</f>
        <v>72</v>
      </c>
      <c r="B25">
        <v>49290729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W25">
        <v>0</v>
      </c>
      <c r="X25">
        <v>1691761995</v>
      </c>
      <c r="Y25">
        <v>0</v>
      </c>
      <c r="AA25">
        <v>6500</v>
      </c>
      <c r="AB25">
        <v>0</v>
      </c>
      <c r="AC25">
        <v>0</v>
      </c>
      <c r="AD25">
        <v>0</v>
      </c>
      <c r="AE25">
        <v>6500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N25">
        <v>0</v>
      </c>
      <c r="AO25">
        <v>1</v>
      </c>
      <c r="AP25">
        <v>1</v>
      </c>
      <c r="AQ25">
        <v>0</v>
      </c>
      <c r="AR25">
        <v>0</v>
      </c>
      <c r="AS25" t="s">
        <v>3</v>
      </c>
      <c r="AT25">
        <v>1.2999999999999999E-3</v>
      </c>
      <c r="AU25" t="s">
        <v>33</v>
      </c>
      <c r="AV25">
        <v>0</v>
      </c>
      <c r="AW25">
        <v>2</v>
      </c>
      <c r="AX25">
        <v>49292412</v>
      </c>
      <c r="AY25">
        <v>1</v>
      </c>
      <c r="AZ25">
        <v>0</v>
      </c>
      <c r="BA25">
        <v>25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CX25">
        <f>Y25*Source!I72</f>
        <v>0</v>
      </c>
      <c r="CY25">
        <f>AA25</f>
        <v>6500</v>
      </c>
      <c r="CZ25">
        <f>AE25</f>
        <v>6500</v>
      </c>
      <c r="DA25">
        <f>AI25</f>
        <v>1</v>
      </c>
      <c r="DB25">
        <f>ROUND((ROUND(AT25*CZ25,2)*0),6)</f>
        <v>0</v>
      </c>
      <c r="DC25">
        <f>ROUND((ROUND(AT25*AG25,2)*0),6)</f>
        <v>0</v>
      </c>
    </row>
    <row r="26" spans="1:107" x14ac:dyDescent="0.2">
      <c r="A26">
        <f>ROW(Source!A72)</f>
        <v>72</v>
      </c>
      <c r="B26">
        <v>49290729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W26">
        <v>0</v>
      </c>
      <c r="X26">
        <v>-1396314973</v>
      </c>
      <c r="Y26">
        <v>0</v>
      </c>
      <c r="AA26">
        <v>4455.2</v>
      </c>
      <c r="AB26">
        <v>0</v>
      </c>
      <c r="AC26">
        <v>0</v>
      </c>
      <c r="AD26">
        <v>0</v>
      </c>
      <c r="AE26">
        <v>4455.2</v>
      </c>
      <c r="AF26">
        <v>0</v>
      </c>
      <c r="AG26">
        <v>0</v>
      </c>
      <c r="AH26">
        <v>0</v>
      </c>
      <c r="AI26">
        <v>1</v>
      </c>
      <c r="AJ26">
        <v>1</v>
      </c>
      <c r="AK26">
        <v>1</v>
      </c>
      <c r="AL26">
        <v>1</v>
      </c>
      <c r="AN26">
        <v>0</v>
      </c>
      <c r="AO26">
        <v>1</v>
      </c>
      <c r="AP26">
        <v>1</v>
      </c>
      <c r="AQ26">
        <v>0</v>
      </c>
      <c r="AR26">
        <v>0</v>
      </c>
      <c r="AS26" t="s">
        <v>3</v>
      </c>
      <c r="AT26">
        <v>0.36</v>
      </c>
      <c r="AU26" t="s">
        <v>33</v>
      </c>
      <c r="AV26">
        <v>0</v>
      </c>
      <c r="AW26">
        <v>2</v>
      </c>
      <c r="AX26">
        <v>49292413</v>
      </c>
      <c r="AY26">
        <v>1</v>
      </c>
      <c r="AZ26">
        <v>0</v>
      </c>
      <c r="BA26">
        <v>26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CX26">
        <f>Y26*Source!I72</f>
        <v>0</v>
      </c>
      <c r="CY26">
        <f>AA26</f>
        <v>4455.2</v>
      </c>
      <c r="CZ26">
        <f>AE26</f>
        <v>4455.2</v>
      </c>
      <c r="DA26">
        <f>AI26</f>
        <v>1</v>
      </c>
      <c r="DB26">
        <f>ROUND((ROUND(AT26*CZ26,2)*0),6)</f>
        <v>0</v>
      </c>
      <c r="DC26">
        <f>ROUND((ROUND(AT26*AG26,2)*0),6)</f>
        <v>0</v>
      </c>
    </row>
    <row r="27" spans="1:107" x14ac:dyDescent="0.2">
      <c r="A27">
        <f>ROW(Source!A73)</f>
        <v>73</v>
      </c>
      <c r="B27">
        <v>49290730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W27">
        <v>0</v>
      </c>
      <c r="X27">
        <v>-1027537862</v>
      </c>
      <c r="Y27">
        <v>17.486000000000001</v>
      </c>
      <c r="AA27">
        <v>0</v>
      </c>
      <c r="AB27">
        <v>0</v>
      </c>
      <c r="AC27">
        <v>0</v>
      </c>
      <c r="AD27">
        <v>9.18</v>
      </c>
      <c r="AE27">
        <v>0</v>
      </c>
      <c r="AF27">
        <v>0</v>
      </c>
      <c r="AG27">
        <v>0</v>
      </c>
      <c r="AH27">
        <v>9.18</v>
      </c>
      <c r="AI27">
        <v>1</v>
      </c>
      <c r="AJ27">
        <v>1</v>
      </c>
      <c r="AK27">
        <v>1</v>
      </c>
      <c r="AL27">
        <v>1</v>
      </c>
      <c r="AN27">
        <v>0</v>
      </c>
      <c r="AO27">
        <v>1</v>
      </c>
      <c r="AP27">
        <v>1</v>
      </c>
      <c r="AQ27">
        <v>0</v>
      </c>
      <c r="AR27">
        <v>0</v>
      </c>
      <c r="AS27" t="s">
        <v>3</v>
      </c>
      <c r="AT27">
        <v>24.98</v>
      </c>
      <c r="AU27" t="s">
        <v>34</v>
      </c>
      <c r="AV27">
        <v>1</v>
      </c>
      <c r="AW27">
        <v>2</v>
      </c>
      <c r="AX27">
        <v>49292408</v>
      </c>
      <c r="AY27">
        <v>1</v>
      </c>
      <c r="AZ27">
        <v>0</v>
      </c>
      <c r="BA27">
        <v>27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CX27">
        <f>Y27*Source!I73</f>
        <v>67.966333399999996</v>
      </c>
      <c r="CY27">
        <f>AD27</f>
        <v>9.18</v>
      </c>
      <c r="CZ27">
        <f>AH27</f>
        <v>9.18</v>
      </c>
      <c r="DA27">
        <f>AL27</f>
        <v>1</v>
      </c>
      <c r="DB27">
        <f>ROUND((ROUND(AT27*CZ27,2)*0.7),6)</f>
        <v>160.524</v>
      </c>
      <c r="DC27">
        <f>ROUND((ROUND(AT27*AG27,2)*0.7),6)</f>
        <v>0</v>
      </c>
    </row>
    <row r="28" spans="1:107" x14ac:dyDescent="0.2">
      <c r="A28">
        <f>ROW(Source!A73)</f>
        <v>73</v>
      </c>
      <c r="B28">
        <v>49290730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W28">
        <v>0</v>
      </c>
      <c r="X28">
        <v>-1417349443</v>
      </c>
      <c r="Y28">
        <v>0.21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1</v>
      </c>
      <c r="AK28">
        <v>1</v>
      </c>
      <c r="AL28">
        <v>1</v>
      </c>
      <c r="AN28">
        <v>0</v>
      </c>
      <c r="AO28">
        <v>1</v>
      </c>
      <c r="AP28">
        <v>0</v>
      </c>
      <c r="AQ28">
        <v>0</v>
      </c>
      <c r="AR28">
        <v>0</v>
      </c>
      <c r="AS28" t="s">
        <v>3</v>
      </c>
      <c r="AT28">
        <v>0.21</v>
      </c>
      <c r="AU28" t="s">
        <v>3</v>
      </c>
      <c r="AV28">
        <v>2</v>
      </c>
      <c r="AW28">
        <v>2</v>
      </c>
      <c r="AX28">
        <v>49292409</v>
      </c>
      <c r="AY28">
        <v>1</v>
      </c>
      <c r="AZ28">
        <v>2048</v>
      </c>
      <c r="BA28">
        <v>28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CX28">
        <f>Y28*Source!I73</f>
        <v>0.81624899999999989</v>
      </c>
      <c r="CY28">
        <f>AD28</f>
        <v>0</v>
      </c>
      <c r="CZ28">
        <f>AH28</f>
        <v>0</v>
      </c>
      <c r="DA28">
        <f>AL28</f>
        <v>1</v>
      </c>
      <c r="DB28">
        <f>ROUND(ROUND(AT28*CZ28,2),6)</f>
        <v>0</v>
      </c>
      <c r="DC28">
        <f>ROUND(ROUND(AT28*AG28,2),6)</f>
        <v>0</v>
      </c>
    </row>
    <row r="29" spans="1:107" x14ac:dyDescent="0.2">
      <c r="A29">
        <f>ROW(Source!A73)</f>
        <v>73</v>
      </c>
      <c r="B29">
        <v>49290730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W29">
        <v>0</v>
      </c>
      <c r="X29">
        <v>-665367104</v>
      </c>
      <c r="Y29">
        <v>5.6000000000000001E-2</v>
      </c>
      <c r="AA29">
        <v>0</v>
      </c>
      <c r="AB29">
        <v>634.42999999999995</v>
      </c>
      <c r="AC29">
        <v>304.20999999999998</v>
      </c>
      <c r="AD29">
        <v>0</v>
      </c>
      <c r="AE29">
        <v>0</v>
      </c>
      <c r="AF29">
        <v>89.99</v>
      </c>
      <c r="AG29">
        <v>10.06</v>
      </c>
      <c r="AH29">
        <v>0</v>
      </c>
      <c r="AI29">
        <v>1</v>
      </c>
      <c r="AJ29">
        <v>7.05</v>
      </c>
      <c r="AK29">
        <v>30.24</v>
      </c>
      <c r="AL29">
        <v>1</v>
      </c>
      <c r="AN29">
        <v>0</v>
      </c>
      <c r="AO29">
        <v>1</v>
      </c>
      <c r="AP29">
        <v>1</v>
      </c>
      <c r="AQ29">
        <v>0</v>
      </c>
      <c r="AR29">
        <v>0</v>
      </c>
      <c r="AS29" t="s">
        <v>3</v>
      </c>
      <c r="AT29">
        <v>0.08</v>
      </c>
      <c r="AU29" t="s">
        <v>34</v>
      </c>
      <c r="AV29">
        <v>0</v>
      </c>
      <c r="AW29">
        <v>2</v>
      </c>
      <c r="AX29">
        <v>49292410</v>
      </c>
      <c r="AY29">
        <v>1</v>
      </c>
      <c r="AZ29">
        <v>0</v>
      </c>
      <c r="BA29">
        <v>29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CX29">
        <f>Y29*Source!I73</f>
        <v>0.21766639999999998</v>
      </c>
      <c r="CY29">
        <f>AB29</f>
        <v>634.42999999999995</v>
      </c>
      <c r="CZ29">
        <f>AF29</f>
        <v>89.99</v>
      </c>
      <c r="DA29">
        <f>AJ29</f>
        <v>7.05</v>
      </c>
      <c r="DB29">
        <f>ROUND((ROUND(AT29*CZ29,2)*0.7),6)</f>
        <v>5.04</v>
      </c>
      <c r="DC29">
        <f>ROUND((ROUND(AT29*AG29,2)*0.7),6)</f>
        <v>0.56000000000000005</v>
      </c>
    </row>
    <row r="30" spans="1:107" x14ac:dyDescent="0.2">
      <c r="A30">
        <f>ROW(Source!A73)</f>
        <v>73</v>
      </c>
      <c r="B30">
        <v>49290730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W30">
        <v>0</v>
      </c>
      <c r="X30">
        <v>1188625873</v>
      </c>
      <c r="Y30">
        <v>9.0999999999999998E-2</v>
      </c>
      <c r="AA30">
        <v>0</v>
      </c>
      <c r="AB30">
        <v>422.01</v>
      </c>
      <c r="AC30">
        <v>408.24</v>
      </c>
      <c r="AD30">
        <v>0</v>
      </c>
      <c r="AE30">
        <v>0</v>
      </c>
      <c r="AF30">
        <v>31.26</v>
      </c>
      <c r="AG30">
        <v>13.5</v>
      </c>
      <c r="AH30">
        <v>0</v>
      </c>
      <c r="AI30">
        <v>1</v>
      </c>
      <c r="AJ30">
        <v>13.5</v>
      </c>
      <c r="AK30">
        <v>30.24</v>
      </c>
      <c r="AL30">
        <v>1</v>
      </c>
      <c r="AN30">
        <v>0</v>
      </c>
      <c r="AO30">
        <v>1</v>
      </c>
      <c r="AP30">
        <v>1</v>
      </c>
      <c r="AQ30">
        <v>0</v>
      </c>
      <c r="AR30">
        <v>0</v>
      </c>
      <c r="AS30" t="s">
        <v>3</v>
      </c>
      <c r="AT30">
        <v>0.13</v>
      </c>
      <c r="AU30" t="s">
        <v>34</v>
      </c>
      <c r="AV30">
        <v>0</v>
      </c>
      <c r="AW30">
        <v>2</v>
      </c>
      <c r="AX30">
        <v>49292411</v>
      </c>
      <c r="AY30">
        <v>1</v>
      </c>
      <c r="AZ30">
        <v>0</v>
      </c>
      <c r="BA30">
        <v>30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CX30">
        <f>Y30*Source!I73</f>
        <v>0.35370789999999996</v>
      </c>
      <c r="CY30">
        <f>AB30</f>
        <v>422.01</v>
      </c>
      <c r="CZ30">
        <f>AF30</f>
        <v>31.26</v>
      </c>
      <c r="DA30">
        <f>AJ30</f>
        <v>13.5</v>
      </c>
      <c r="DB30">
        <f>ROUND((ROUND(AT30*CZ30,2)*0.7),6)</f>
        <v>2.8420000000000001</v>
      </c>
      <c r="DC30">
        <f>ROUND((ROUND(AT30*AG30,2)*0.7),6)</f>
        <v>1.232</v>
      </c>
    </row>
    <row r="31" spans="1:107" x14ac:dyDescent="0.2">
      <c r="A31">
        <f>ROW(Source!A73)</f>
        <v>73</v>
      </c>
      <c r="B31">
        <v>49290730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W31">
        <v>0</v>
      </c>
      <c r="X31">
        <v>1691761995</v>
      </c>
      <c r="Y31">
        <v>0</v>
      </c>
      <c r="AA31">
        <v>48165</v>
      </c>
      <c r="AB31">
        <v>0</v>
      </c>
      <c r="AC31">
        <v>0</v>
      </c>
      <c r="AD31">
        <v>0</v>
      </c>
      <c r="AE31">
        <v>6500</v>
      </c>
      <c r="AF31">
        <v>0</v>
      </c>
      <c r="AG31">
        <v>0</v>
      </c>
      <c r="AH31">
        <v>0</v>
      </c>
      <c r="AI31">
        <v>7.41</v>
      </c>
      <c r="AJ31">
        <v>1</v>
      </c>
      <c r="AK31">
        <v>1</v>
      </c>
      <c r="AL31">
        <v>1</v>
      </c>
      <c r="AN31">
        <v>0</v>
      </c>
      <c r="AO31">
        <v>1</v>
      </c>
      <c r="AP31">
        <v>1</v>
      </c>
      <c r="AQ31">
        <v>0</v>
      </c>
      <c r="AR31">
        <v>0</v>
      </c>
      <c r="AS31" t="s">
        <v>3</v>
      </c>
      <c r="AT31">
        <v>1.2999999999999999E-3</v>
      </c>
      <c r="AU31" t="s">
        <v>33</v>
      </c>
      <c r="AV31">
        <v>0</v>
      </c>
      <c r="AW31">
        <v>2</v>
      </c>
      <c r="AX31">
        <v>49292412</v>
      </c>
      <c r="AY31">
        <v>1</v>
      </c>
      <c r="AZ31">
        <v>0</v>
      </c>
      <c r="BA31">
        <v>31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CX31">
        <f>Y31*Source!I73</f>
        <v>0</v>
      </c>
      <c r="CY31">
        <f>AA31</f>
        <v>48165</v>
      </c>
      <c r="CZ31">
        <f>AE31</f>
        <v>6500</v>
      </c>
      <c r="DA31">
        <f>AI31</f>
        <v>7.41</v>
      </c>
      <c r="DB31">
        <f>ROUND((ROUND(AT31*CZ31,2)*0),6)</f>
        <v>0</v>
      </c>
      <c r="DC31">
        <f>ROUND((ROUND(AT31*AG31,2)*0),6)</f>
        <v>0</v>
      </c>
    </row>
    <row r="32" spans="1:107" x14ac:dyDescent="0.2">
      <c r="A32">
        <f>ROW(Source!A73)</f>
        <v>73</v>
      </c>
      <c r="B32">
        <v>49290730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W32">
        <v>0</v>
      </c>
      <c r="X32">
        <v>-1396314973</v>
      </c>
      <c r="Y32">
        <v>0</v>
      </c>
      <c r="AA32">
        <v>37468.230000000003</v>
      </c>
      <c r="AB32">
        <v>0</v>
      </c>
      <c r="AC32">
        <v>0</v>
      </c>
      <c r="AD32">
        <v>0</v>
      </c>
      <c r="AE32">
        <v>4455.2</v>
      </c>
      <c r="AF32">
        <v>0</v>
      </c>
      <c r="AG32">
        <v>0</v>
      </c>
      <c r="AH32">
        <v>0</v>
      </c>
      <c r="AI32">
        <v>8.41</v>
      </c>
      <c r="AJ32">
        <v>1</v>
      </c>
      <c r="AK32">
        <v>1</v>
      </c>
      <c r="AL32">
        <v>1</v>
      </c>
      <c r="AN32">
        <v>0</v>
      </c>
      <c r="AO32">
        <v>1</v>
      </c>
      <c r="AP32">
        <v>1</v>
      </c>
      <c r="AQ32">
        <v>0</v>
      </c>
      <c r="AR32">
        <v>0</v>
      </c>
      <c r="AS32" t="s">
        <v>3</v>
      </c>
      <c r="AT32">
        <v>0.36</v>
      </c>
      <c r="AU32" t="s">
        <v>33</v>
      </c>
      <c r="AV32">
        <v>0</v>
      </c>
      <c r="AW32">
        <v>2</v>
      </c>
      <c r="AX32">
        <v>49292413</v>
      </c>
      <c r="AY32">
        <v>1</v>
      </c>
      <c r="AZ32">
        <v>0</v>
      </c>
      <c r="BA32">
        <v>32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CX32">
        <f>Y32*Source!I73</f>
        <v>0</v>
      </c>
      <c r="CY32">
        <f>AA32</f>
        <v>37468.230000000003</v>
      </c>
      <c r="CZ32">
        <f>AE32</f>
        <v>4455.2</v>
      </c>
      <c r="DA32">
        <f>AI32</f>
        <v>8.41</v>
      </c>
      <c r="DB32">
        <f>ROUND((ROUND(AT32*CZ32,2)*0),6)</f>
        <v>0</v>
      </c>
      <c r="DC32">
        <f>ROUND((ROUND(AT32*AG32,2)*0),6)</f>
        <v>0</v>
      </c>
    </row>
    <row r="33" spans="1:107" x14ac:dyDescent="0.2">
      <c r="A33">
        <f>ROW(Source!A108)</f>
        <v>108</v>
      </c>
      <c r="B33">
        <v>49290729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W33">
        <v>0</v>
      </c>
      <c r="X33">
        <v>-576067263</v>
      </c>
      <c r="Y33">
        <v>1.03</v>
      </c>
      <c r="AA33">
        <v>0</v>
      </c>
      <c r="AB33">
        <v>0</v>
      </c>
      <c r="AC33">
        <v>0</v>
      </c>
      <c r="AD33">
        <v>7.19</v>
      </c>
      <c r="AE33">
        <v>0</v>
      </c>
      <c r="AF33">
        <v>0</v>
      </c>
      <c r="AG33">
        <v>0</v>
      </c>
      <c r="AH33">
        <v>7.19</v>
      </c>
      <c r="AI33">
        <v>1</v>
      </c>
      <c r="AJ33">
        <v>1</v>
      </c>
      <c r="AK33">
        <v>1</v>
      </c>
      <c r="AL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 t="s">
        <v>3</v>
      </c>
      <c r="AT33">
        <v>1.03</v>
      </c>
      <c r="AU33" t="s">
        <v>3</v>
      </c>
      <c r="AV33">
        <v>1</v>
      </c>
      <c r="AW33">
        <v>2</v>
      </c>
      <c r="AX33">
        <v>49291669</v>
      </c>
      <c r="AY33">
        <v>1</v>
      </c>
      <c r="AZ33">
        <v>0</v>
      </c>
      <c r="BA33">
        <v>33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CX33">
        <f>Y33*Source!I108</f>
        <v>213.72499999999999</v>
      </c>
      <c r="CY33">
        <f>AD33</f>
        <v>7.19</v>
      </c>
      <c r="CZ33">
        <f>AH33</f>
        <v>7.19</v>
      </c>
      <c r="DA33">
        <f>AL33</f>
        <v>1</v>
      </c>
      <c r="DB33">
        <f>ROUND(ROUND(AT33*CZ33,2),6)</f>
        <v>7.41</v>
      </c>
      <c r="DC33">
        <f>ROUND(ROUND(AT33*AG33,2),6)</f>
        <v>0</v>
      </c>
    </row>
    <row r="34" spans="1:107" x14ac:dyDescent="0.2">
      <c r="A34">
        <f>ROW(Source!A108)</f>
        <v>108</v>
      </c>
      <c r="B34">
        <v>49290729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W34">
        <v>0</v>
      </c>
      <c r="X34">
        <v>1092967459</v>
      </c>
      <c r="Y34">
        <v>0.2</v>
      </c>
      <c r="AA34">
        <v>82</v>
      </c>
      <c r="AB34">
        <v>0</v>
      </c>
      <c r="AC34">
        <v>0</v>
      </c>
      <c r="AD34">
        <v>0</v>
      </c>
      <c r="AE34">
        <v>82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1</v>
      </c>
      <c r="AL34">
        <v>1</v>
      </c>
      <c r="AN34">
        <v>0</v>
      </c>
      <c r="AO34">
        <v>1</v>
      </c>
      <c r="AP34">
        <v>0</v>
      </c>
      <c r="AQ34">
        <v>0</v>
      </c>
      <c r="AR34">
        <v>0</v>
      </c>
      <c r="AS34" t="s">
        <v>3</v>
      </c>
      <c r="AT34">
        <v>0.2</v>
      </c>
      <c r="AU34" t="s">
        <v>3</v>
      </c>
      <c r="AV34">
        <v>0</v>
      </c>
      <c r="AW34">
        <v>2</v>
      </c>
      <c r="AX34">
        <v>49291670</v>
      </c>
      <c r="AY34">
        <v>1</v>
      </c>
      <c r="AZ34">
        <v>0</v>
      </c>
      <c r="BA34">
        <v>34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CX34">
        <f>Y34*Source!I108</f>
        <v>41.5</v>
      </c>
      <c r="CY34">
        <f>AA34</f>
        <v>82</v>
      </c>
      <c r="CZ34">
        <f>AE34</f>
        <v>82</v>
      </c>
      <c r="DA34">
        <f>AI34</f>
        <v>1</v>
      </c>
      <c r="DB34">
        <f>ROUND(ROUND(AT34*CZ34,2),6)</f>
        <v>16.399999999999999</v>
      </c>
      <c r="DC34">
        <f>ROUND(ROUND(AT34*AG34,2),6)</f>
        <v>0</v>
      </c>
    </row>
    <row r="35" spans="1:107" x14ac:dyDescent="0.2">
      <c r="A35">
        <f>ROW(Source!A109)</f>
        <v>109</v>
      </c>
      <c r="B35">
        <v>49290730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W35">
        <v>0</v>
      </c>
      <c r="X35">
        <v>-576067263</v>
      </c>
      <c r="Y35">
        <v>1.03</v>
      </c>
      <c r="AA35">
        <v>0</v>
      </c>
      <c r="AB35">
        <v>0</v>
      </c>
      <c r="AC35">
        <v>0</v>
      </c>
      <c r="AD35">
        <v>7.19</v>
      </c>
      <c r="AE35">
        <v>0</v>
      </c>
      <c r="AF35">
        <v>0</v>
      </c>
      <c r="AG35">
        <v>0</v>
      </c>
      <c r="AH35">
        <v>7.19</v>
      </c>
      <c r="AI35">
        <v>1</v>
      </c>
      <c r="AJ35">
        <v>1</v>
      </c>
      <c r="AK35">
        <v>1</v>
      </c>
      <c r="AL35">
        <v>1</v>
      </c>
      <c r="AN35">
        <v>0</v>
      </c>
      <c r="AO35">
        <v>1</v>
      </c>
      <c r="AP35">
        <v>0</v>
      </c>
      <c r="AQ35">
        <v>0</v>
      </c>
      <c r="AR35">
        <v>0</v>
      </c>
      <c r="AS35" t="s">
        <v>3</v>
      </c>
      <c r="AT35">
        <v>1.03</v>
      </c>
      <c r="AU35" t="s">
        <v>3</v>
      </c>
      <c r="AV35">
        <v>1</v>
      </c>
      <c r="AW35">
        <v>2</v>
      </c>
      <c r="AX35">
        <v>49291669</v>
      </c>
      <c r="AY35">
        <v>1</v>
      </c>
      <c r="AZ35">
        <v>0</v>
      </c>
      <c r="BA35">
        <v>35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CX35">
        <f>Y35*Source!I109</f>
        <v>213.72499999999999</v>
      </c>
      <c r="CY35">
        <f>AD35</f>
        <v>7.19</v>
      </c>
      <c r="CZ35">
        <f>AH35</f>
        <v>7.19</v>
      </c>
      <c r="DA35">
        <f>AL35</f>
        <v>1</v>
      </c>
      <c r="DB35">
        <f>ROUND(ROUND(AT35*CZ35,2),6)</f>
        <v>7.41</v>
      </c>
      <c r="DC35">
        <f>ROUND(ROUND(AT35*AG35,2),6)</f>
        <v>0</v>
      </c>
    </row>
    <row r="36" spans="1:107" x14ac:dyDescent="0.2">
      <c r="A36">
        <f>ROW(Source!A109)</f>
        <v>109</v>
      </c>
      <c r="B36">
        <v>49290730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W36">
        <v>0</v>
      </c>
      <c r="X36">
        <v>1092967459</v>
      </c>
      <c r="Y36">
        <v>0.2</v>
      </c>
      <c r="AA36">
        <v>460.84</v>
      </c>
      <c r="AB36">
        <v>0</v>
      </c>
      <c r="AC36">
        <v>0</v>
      </c>
      <c r="AD36">
        <v>0</v>
      </c>
      <c r="AE36">
        <v>82</v>
      </c>
      <c r="AF36">
        <v>0</v>
      </c>
      <c r="AG36">
        <v>0</v>
      </c>
      <c r="AH36">
        <v>0</v>
      </c>
      <c r="AI36">
        <v>5.62</v>
      </c>
      <c r="AJ36">
        <v>1</v>
      </c>
      <c r="AK36">
        <v>1</v>
      </c>
      <c r="AL36">
        <v>1</v>
      </c>
      <c r="AN36">
        <v>0</v>
      </c>
      <c r="AO36">
        <v>1</v>
      </c>
      <c r="AP36">
        <v>0</v>
      </c>
      <c r="AQ36">
        <v>0</v>
      </c>
      <c r="AR36">
        <v>0</v>
      </c>
      <c r="AS36" t="s">
        <v>3</v>
      </c>
      <c r="AT36">
        <v>0.2</v>
      </c>
      <c r="AU36" t="s">
        <v>3</v>
      </c>
      <c r="AV36">
        <v>0</v>
      </c>
      <c r="AW36">
        <v>2</v>
      </c>
      <c r="AX36">
        <v>49291670</v>
      </c>
      <c r="AY36">
        <v>1</v>
      </c>
      <c r="AZ36">
        <v>0</v>
      </c>
      <c r="BA36">
        <v>36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CX36">
        <f>Y36*Source!I109</f>
        <v>41.5</v>
      </c>
      <c r="CY36">
        <f>AA36</f>
        <v>460.84</v>
      </c>
      <c r="CZ36">
        <f>AE36</f>
        <v>82</v>
      </c>
      <c r="DA36">
        <f>AI36</f>
        <v>5.62</v>
      </c>
      <c r="DB36">
        <f>ROUND(ROUND(AT36*CZ36,2),6)</f>
        <v>16.399999999999999</v>
      </c>
      <c r="DC36">
        <f>ROUND(ROUND(AT36*AG36,2),6)</f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R36"/>
  <sheetViews>
    <sheetView workbookViewId="0"/>
  </sheetViews>
  <sheetFormatPr defaultColWidth="9.140625" defaultRowHeight="12.75" x14ac:dyDescent="0.2"/>
  <cols>
    <col min="1" max="256" width="9.140625" customWidth="1"/>
  </cols>
  <sheetData>
    <row r="1" spans="1:44" x14ac:dyDescent="0.2">
      <c r="A1">
        <f>ROW(Source!A28)</f>
        <v>28</v>
      </c>
      <c r="B1">
        <v>49291451</v>
      </c>
      <c r="C1">
        <v>49291449</v>
      </c>
      <c r="D1">
        <v>37064998</v>
      </c>
      <c r="E1">
        <v>1</v>
      </c>
      <c r="F1">
        <v>1</v>
      </c>
      <c r="G1">
        <v>1</v>
      </c>
      <c r="H1">
        <v>1</v>
      </c>
      <c r="I1" t="s">
        <v>197</v>
      </c>
      <c r="J1" t="s">
        <v>3</v>
      </c>
      <c r="K1" t="s">
        <v>198</v>
      </c>
      <c r="L1">
        <v>1191</v>
      </c>
      <c r="N1">
        <v>1013</v>
      </c>
      <c r="O1" t="s">
        <v>199</v>
      </c>
      <c r="P1" t="s">
        <v>199</v>
      </c>
      <c r="Q1">
        <v>1</v>
      </c>
      <c r="X1">
        <v>29.52</v>
      </c>
      <c r="Y1">
        <v>0</v>
      </c>
      <c r="Z1">
        <v>0</v>
      </c>
      <c r="AA1">
        <v>0</v>
      </c>
      <c r="AB1">
        <v>7.8</v>
      </c>
      <c r="AC1">
        <v>0</v>
      </c>
      <c r="AD1">
        <v>1</v>
      </c>
      <c r="AE1">
        <v>1</v>
      </c>
      <c r="AF1" t="s">
        <v>3</v>
      </c>
      <c r="AG1">
        <v>29.52</v>
      </c>
      <c r="AH1">
        <v>2</v>
      </c>
      <c r="AI1">
        <v>49291450</v>
      </c>
      <c r="AJ1">
        <v>1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</row>
    <row r="2" spans="1:44" x14ac:dyDescent="0.2">
      <c r="A2">
        <f>ROW(Source!A29)</f>
        <v>29</v>
      </c>
      <c r="B2">
        <v>49291451</v>
      </c>
      <c r="C2">
        <v>49291449</v>
      </c>
      <c r="D2">
        <v>37064998</v>
      </c>
      <c r="E2">
        <v>1</v>
      </c>
      <c r="F2">
        <v>1</v>
      </c>
      <c r="G2">
        <v>1</v>
      </c>
      <c r="H2">
        <v>1</v>
      </c>
      <c r="I2" t="s">
        <v>197</v>
      </c>
      <c r="J2" t="s">
        <v>3</v>
      </c>
      <c r="K2" t="s">
        <v>198</v>
      </c>
      <c r="L2">
        <v>1191</v>
      </c>
      <c r="N2">
        <v>1013</v>
      </c>
      <c r="O2" t="s">
        <v>199</v>
      </c>
      <c r="P2" t="s">
        <v>199</v>
      </c>
      <c r="Q2">
        <v>1</v>
      </c>
      <c r="X2">
        <v>29.52</v>
      </c>
      <c r="Y2">
        <v>0</v>
      </c>
      <c r="Z2">
        <v>0</v>
      </c>
      <c r="AA2">
        <v>0</v>
      </c>
      <c r="AB2">
        <v>7.8</v>
      </c>
      <c r="AC2">
        <v>0</v>
      </c>
      <c r="AD2">
        <v>1</v>
      </c>
      <c r="AE2">
        <v>1</v>
      </c>
      <c r="AF2" t="s">
        <v>3</v>
      </c>
      <c r="AG2">
        <v>29.52</v>
      </c>
      <c r="AH2">
        <v>2</v>
      </c>
      <c r="AI2">
        <v>49291450</v>
      </c>
      <c r="AJ2">
        <v>2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</row>
    <row r="3" spans="1:44" x14ac:dyDescent="0.2">
      <c r="A3">
        <f>ROW(Source!A30)</f>
        <v>30</v>
      </c>
      <c r="B3">
        <v>49292388</v>
      </c>
      <c r="C3">
        <v>49292385</v>
      </c>
      <c r="D3">
        <v>37064998</v>
      </c>
      <c r="E3">
        <v>1</v>
      </c>
      <c r="F3">
        <v>1</v>
      </c>
      <c r="G3">
        <v>1</v>
      </c>
      <c r="H3">
        <v>1</v>
      </c>
      <c r="I3" t="s">
        <v>197</v>
      </c>
      <c r="J3" t="s">
        <v>3</v>
      </c>
      <c r="K3" t="s">
        <v>198</v>
      </c>
      <c r="L3">
        <v>1191</v>
      </c>
      <c r="N3">
        <v>1013</v>
      </c>
      <c r="O3" t="s">
        <v>199</v>
      </c>
      <c r="P3" t="s">
        <v>199</v>
      </c>
      <c r="Q3">
        <v>1</v>
      </c>
      <c r="X3">
        <v>22.82</v>
      </c>
      <c r="Y3">
        <v>0</v>
      </c>
      <c r="Z3">
        <v>0</v>
      </c>
      <c r="AA3">
        <v>0</v>
      </c>
      <c r="AB3">
        <v>7.8</v>
      </c>
      <c r="AC3">
        <v>0</v>
      </c>
      <c r="AD3">
        <v>1</v>
      </c>
      <c r="AE3">
        <v>1</v>
      </c>
      <c r="AF3" t="s">
        <v>27</v>
      </c>
      <c r="AG3">
        <v>51.801400000000001</v>
      </c>
      <c r="AH3">
        <v>2</v>
      </c>
      <c r="AI3">
        <v>49292388</v>
      </c>
      <c r="AJ3">
        <v>3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44" x14ac:dyDescent="0.2">
      <c r="A4">
        <f>ROW(Source!A31)</f>
        <v>31</v>
      </c>
      <c r="B4">
        <v>49292388</v>
      </c>
      <c r="C4">
        <v>49292385</v>
      </c>
      <c r="D4">
        <v>37064998</v>
      </c>
      <c r="E4">
        <v>1</v>
      </c>
      <c r="F4">
        <v>1</v>
      </c>
      <c r="G4">
        <v>1</v>
      </c>
      <c r="H4">
        <v>1</v>
      </c>
      <c r="I4" t="s">
        <v>197</v>
      </c>
      <c r="J4" t="s">
        <v>3</v>
      </c>
      <c r="K4" t="s">
        <v>198</v>
      </c>
      <c r="L4">
        <v>1191</v>
      </c>
      <c r="N4">
        <v>1013</v>
      </c>
      <c r="O4" t="s">
        <v>199</v>
      </c>
      <c r="P4" t="s">
        <v>199</v>
      </c>
      <c r="Q4">
        <v>1</v>
      </c>
      <c r="X4">
        <v>22.82</v>
      </c>
      <c r="Y4">
        <v>0</v>
      </c>
      <c r="Z4">
        <v>0</v>
      </c>
      <c r="AA4">
        <v>0</v>
      </c>
      <c r="AB4">
        <v>7.8</v>
      </c>
      <c r="AC4">
        <v>0</v>
      </c>
      <c r="AD4">
        <v>1</v>
      </c>
      <c r="AE4">
        <v>1</v>
      </c>
      <c r="AF4" t="s">
        <v>27</v>
      </c>
      <c r="AG4">
        <v>51.801400000000001</v>
      </c>
      <c r="AH4">
        <v>2</v>
      </c>
      <c r="AI4">
        <v>49292388</v>
      </c>
      <c r="AJ4">
        <v>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44" x14ac:dyDescent="0.2">
      <c r="A5">
        <f>ROW(Source!A32)</f>
        <v>32</v>
      </c>
      <c r="B5">
        <v>49292394</v>
      </c>
      <c r="C5">
        <v>49292393</v>
      </c>
      <c r="D5">
        <v>37072767</v>
      </c>
      <c r="E5">
        <v>1</v>
      </c>
      <c r="F5">
        <v>1</v>
      </c>
      <c r="G5">
        <v>1</v>
      </c>
      <c r="H5">
        <v>1</v>
      </c>
      <c r="I5" t="s">
        <v>200</v>
      </c>
      <c r="J5" t="s">
        <v>3</v>
      </c>
      <c r="K5" t="s">
        <v>201</v>
      </c>
      <c r="L5">
        <v>1191</v>
      </c>
      <c r="N5">
        <v>1013</v>
      </c>
      <c r="O5" t="s">
        <v>199</v>
      </c>
      <c r="P5" t="s">
        <v>199</v>
      </c>
      <c r="Q5">
        <v>1</v>
      </c>
      <c r="X5">
        <v>24.98</v>
      </c>
      <c r="Y5">
        <v>0</v>
      </c>
      <c r="Z5">
        <v>0</v>
      </c>
      <c r="AA5">
        <v>0</v>
      </c>
      <c r="AB5">
        <v>9.18</v>
      </c>
      <c r="AC5">
        <v>0</v>
      </c>
      <c r="AD5">
        <v>1</v>
      </c>
      <c r="AE5">
        <v>1</v>
      </c>
      <c r="AF5" t="s">
        <v>34</v>
      </c>
      <c r="AG5">
        <v>17.486000000000001</v>
      </c>
      <c r="AH5">
        <v>2</v>
      </c>
      <c r="AI5">
        <v>49292394</v>
      </c>
      <c r="AJ5">
        <v>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</row>
    <row r="6" spans="1:44" x14ac:dyDescent="0.2">
      <c r="A6">
        <f>ROW(Source!A32)</f>
        <v>32</v>
      </c>
      <c r="B6">
        <v>49292395</v>
      </c>
      <c r="C6">
        <v>49292393</v>
      </c>
      <c r="D6">
        <v>37064876</v>
      </c>
      <c r="E6">
        <v>1</v>
      </c>
      <c r="F6">
        <v>1</v>
      </c>
      <c r="G6">
        <v>1</v>
      </c>
      <c r="H6">
        <v>1</v>
      </c>
      <c r="I6" t="s">
        <v>202</v>
      </c>
      <c r="J6" t="s">
        <v>3</v>
      </c>
      <c r="K6" t="s">
        <v>203</v>
      </c>
      <c r="L6">
        <v>1191</v>
      </c>
      <c r="N6">
        <v>1013</v>
      </c>
      <c r="O6" t="s">
        <v>199</v>
      </c>
      <c r="P6" t="s">
        <v>199</v>
      </c>
      <c r="Q6">
        <v>1</v>
      </c>
      <c r="X6">
        <v>0.21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2</v>
      </c>
      <c r="AF6" t="s">
        <v>34</v>
      </c>
      <c r="AG6">
        <v>0.14699999999999999</v>
      </c>
      <c r="AH6">
        <v>2</v>
      </c>
      <c r="AI6">
        <v>49292395</v>
      </c>
      <c r="AJ6">
        <v>6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44" x14ac:dyDescent="0.2">
      <c r="A7">
        <f>ROW(Source!A32)</f>
        <v>32</v>
      </c>
      <c r="B7">
        <v>49292396</v>
      </c>
      <c r="C7">
        <v>49292393</v>
      </c>
      <c r="D7">
        <v>36882383</v>
      </c>
      <c r="E7">
        <v>1</v>
      </c>
      <c r="F7">
        <v>1</v>
      </c>
      <c r="G7">
        <v>1</v>
      </c>
      <c r="H7">
        <v>2</v>
      </c>
      <c r="I7" t="s">
        <v>204</v>
      </c>
      <c r="J7" t="s">
        <v>205</v>
      </c>
      <c r="K7" t="s">
        <v>206</v>
      </c>
      <c r="L7">
        <v>1368</v>
      </c>
      <c r="N7">
        <v>1011</v>
      </c>
      <c r="O7" t="s">
        <v>207</v>
      </c>
      <c r="P7" t="s">
        <v>207</v>
      </c>
      <c r="Q7">
        <v>1</v>
      </c>
      <c r="X7">
        <v>0.08</v>
      </c>
      <c r="Y7">
        <v>0</v>
      </c>
      <c r="Z7">
        <v>89.99</v>
      </c>
      <c r="AA7">
        <v>10.06</v>
      </c>
      <c r="AB7">
        <v>0</v>
      </c>
      <c r="AC7">
        <v>0</v>
      </c>
      <c r="AD7">
        <v>1</v>
      </c>
      <c r="AE7">
        <v>0</v>
      </c>
      <c r="AF7" t="s">
        <v>34</v>
      </c>
      <c r="AG7">
        <v>5.6000000000000001E-2</v>
      </c>
      <c r="AH7">
        <v>2</v>
      </c>
      <c r="AI7">
        <v>49292396</v>
      </c>
      <c r="AJ7">
        <v>7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</row>
    <row r="8" spans="1:44" x14ac:dyDescent="0.2">
      <c r="A8">
        <f>ROW(Source!A32)</f>
        <v>32</v>
      </c>
      <c r="B8">
        <v>49292397</v>
      </c>
      <c r="C8">
        <v>49292393</v>
      </c>
      <c r="D8">
        <v>36882452</v>
      </c>
      <c r="E8">
        <v>1</v>
      </c>
      <c r="F8">
        <v>1</v>
      </c>
      <c r="G8">
        <v>1</v>
      </c>
      <c r="H8">
        <v>2</v>
      </c>
      <c r="I8" t="s">
        <v>208</v>
      </c>
      <c r="J8" t="s">
        <v>209</v>
      </c>
      <c r="K8" t="s">
        <v>210</v>
      </c>
      <c r="L8">
        <v>1368</v>
      </c>
      <c r="N8">
        <v>1011</v>
      </c>
      <c r="O8" t="s">
        <v>207</v>
      </c>
      <c r="P8" t="s">
        <v>207</v>
      </c>
      <c r="Q8">
        <v>1</v>
      </c>
      <c r="X8">
        <v>0.13</v>
      </c>
      <c r="Y8">
        <v>0</v>
      </c>
      <c r="Z8">
        <v>31.26</v>
      </c>
      <c r="AA8">
        <v>13.5</v>
      </c>
      <c r="AB8">
        <v>0</v>
      </c>
      <c r="AC8">
        <v>0</v>
      </c>
      <c r="AD8">
        <v>1</v>
      </c>
      <c r="AE8">
        <v>0</v>
      </c>
      <c r="AF8" t="s">
        <v>34</v>
      </c>
      <c r="AG8">
        <v>9.0999999999999998E-2</v>
      </c>
      <c r="AH8">
        <v>2</v>
      </c>
      <c r="AI8">
        <v>49292397</v>
      </c>
      <c r="AJ8">
        <v>8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44" x14ac:dyDescent="0.2">
      <c r="A9">
        <f>ROW(Source!A32)</f>
        <v>32</v>
      </c>
      <c r="B9">
        <v>49292398</v>
      </c>
      <c r="C9">
        <v>49292393</v>
      </c>
      <c r="D9">
        <v>36825623</v>
      </c>
      <c r="E9">
        <v>1</v>
      </c>
      <c r="F9">
        <v>1</v>
      </c>
      <c r="G9">
        <v>1</v>
      </c>
      <c r="H9">
        <v>3</v>
      </c>
      <c r="I9" t="s">
        <v>211</v>
      </c>
      <c r="J9" t="s">
        <v>212</v>
      </c>
      <c r="K9" t="s">
        <v>213</v>
      </c>
      <c r="L9">
        <v>1348</v>
      </c>
      <c r="N9">
        <v>1009</v>
      </c>
      <c r="O9" t="s">
        <v>97</v>
      </c>
      <c r="P9" t="s">
        <v>97</v>
      </c>
      <c r="Q9">
        <v>1000</v>
      </c>
      <c r="X9">
        <v>1.2999999999999999E-3</v>
      </c>
      <c r="Y9">
        <v>6500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 t="s">
        <v>33</v>
      </c>
      <c r="AG9">
        <v>0</v>
      </c>
      <c r="AH9">
        <v>2</v>
      </c>
      <c r="AI9">
        <v>49292398</v>
      </c>
      <c r="AJ9">
        <v>9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44" x14ac:dyDescent="0.2">
      <c r="A10">
        <f>ROW(Source!A32)</f>
        <v>32</v>
      </c>
      <c r="B10">
        <v>49292399</v>
      </c>
      <c r="C10">
        <v>49292393</v>
      </c>
      <c r="D10">
        <v>36825646</v>
      </c>
      <c r="E10">
        <v>1</v>
      </c>
      <c r="F10">
        <v>1</v>
      </c>
      <c r="G10">
        <v>1</v>
      </c>
      <c r="H10">
        <v>3</v>
      </c>
      <c r="I10" t="s">
        <v>214</v>
      </c>
      <c r="J10" t="s">
        <v>215</v>
      </c>
      <c r="K10" t="s">
        <v>216</v>
      </c>
      <c r="L10">
        <v>1348</v>
      </c>
      <c r="N10">
        <v>1009</v>
      </c>
      <c r="O10" t="s">
        <v>97</v>
      </c>
      <c r="P10" t="s">
        <v>97</v>
      </c>
      <c r="Q10">
        <v>1000</v>
      </c>
      <c r="X10">
        <v>0.36</v>
      </c>
      <c r="Y10">
        <v>4455.2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 t="s">
        <v>33</v>
      </c>
      <c r="AG10">
        <v>0</v>
      </c>
      <c r="AH10">
        <v>2</v>
      </c>
      <c r="AI10">
        <v>49292399</v>
      </c>
      <c r="AJ10">
        <v>10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44" x14ac:dyDescent="0.2">
      <c r="A11">
        <f>ROW(Source!A33)</f>
        <v>33</v>
      </c>
      <c r="B11">
        <v>49292394</v>
      </c>
      <c r="C11">
        <v>49292393</v>
      </c>
      <c r="D11">
        <v>37072767</v>
      </c>
      <c r="E11">
        <v>1</v>
      </c>
      <c r="F11">
        <v>1</v>
      </c>
      <c r="G11">
        <v>1</v>
      </c>
      <c r="H11">
        <v>1</v>
      </c>
      <c r="I11" t="s">
        <v>200</v>
      </c>
      <c r="J11" t="s">
        <v>3</v>
      </c>
      <c r="K11" t="s">
        <v>201</v>
      </c>
      <c r="L11">
        <v>1191</v>
      </c>
      <c r="N11">
        <v>1013</v>
      </c>
      <c r="O11" t="s">
        <v>199</v>
      </c>
      <c r="P11" t="s">
        <v>199</v>
      </c>
      <c r="Q11">
        <v>1</v>
      </c>
      <c r="X11">
        <v>24.98</v>
      </c>
      <c r="Y11">
        <v>0</v>
      </c>
      <c r="Z11">
        <v>0</v>
      </c>
      <c r="AA11">
        <v>0</v>
      </c>
      <c r="AB11">
        <v>9.18</v>
      </c>
      <c r="AC11">
        <v>0</v>
      </c>
      <c r="AD11">
        <v>1</v>
      </c>
      <c r="AE11">
        <v>1</v>
      </c>
      <c r="AF11" t="s">
        <v>34</v>
      </c>
      <c r="AG11">
        <v>17.486000000000001</v>
      </c>
      <c r="AH11">
        <v>2</v>
      </c>
      <c r="AI11">
        <v>49292394</v>
      </c>
      <c r="AJ11">
        <v>11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44" x14ac:dyDescent="0.2">
      <c r="A12">
        <f>ROW(Source!A33)</f>
        <v>33</v>
      </c>
      <c r="B12">
        <v>49292395</v>
      </c>
      <c r="C12">
        <v>49292393</v>
      </c>
      <c r="D12">
        <v>37064876</v>
      </c>
      <c r="E12">
        <v>1</v>
      </c>
      <c r="F12">
        <v>1</v>
      </c>
      <c r="G12">
        <v>1</v>
      </c>
      <c r="H12">
        <v>1</v>
      </c>
      <c r="I12" t="s">
        <v>202</v>
      </c>
      <c r="J12" t="s">
        <v>3</v>
      </c>
      <c r="K12" t="s">
        <v>203</v>
      </c>
      <c r="L12">
        <v>1191</v>
      </c>
      <c r="N12">
        <v>1013</v>
      </c>
      <c r="O12" t="s">
        <v>199</v>
      </c>
      <c r="P12" t="s">
        <v>199</v>
      </c>
      <c r="Q12">
        <v>1</v>
      </c>
      <c r="X12">
        <v>0.21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2</v>
      </c>
      <c r="AF12" t="s">
        <v>34</v>
      </c>
      <c r="AG12">
        <v>0.14699999999999999</v>
      </c>
      <c r="AH12">
        <v>2</v>
      </c>
      <c r="AI12">
        <v>49292395</v>
      </c>
      <c r="AJ12">
        <v>12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44" x14ac:dyDescent="0.2">
      <c r="A13">
        <f>ROW(Source!A33)</f>
        <v>33</v>
      </c>
      <c r="B13">
        <v>49292396</v>
      </c>
      <c r="C13">
        <v>49292393</v>
      </c>
      <c r="D13">
        <v>36882383</v>
      </c>
      <c r="E13">
        <v>1</v>
      </c>
      <c r="F13">
        <v>1</v>
      </c>
      <c r="G13">
        <v>1</v>
      </c>
      <c r="H13">
        <v>2</v>
      </c>
      <c r="I13" t="s">
        <v>204</v>
      </c>
      <c r="J13" t="s">
        <v>205</v>
      </c>
      <c r="K13" t="s">
        <v>206</v>
      </c>
      <c r="L13">
        <v>1368</v>
      </c>
      <c r="N13">
        <v>1011</v>
      </c>
      <c r="O13" t="s">
        <v>207</v>
      </c>
      <c r="P13" t="s">
        <v>207</v>
      </c>
      <c r="Q13">
        <v>1</v>
      </c>
      <c r="X13">
        <v>0.08</v>
      </c>
      <c r="Y13">
        <v>0</v>
      </c>
      <c r="Z13">
        <v>89.99</v>
      </c>
      <c r="AA13">
        <v>10.06</v>
      </c>
      <c r="AB13">
        <v>0</v>
      </c>
      <c r="AC13">
        <v>0</v>
      </c>
      <c r="AD13">
        <v>1</v>
      </c>
      <c r="AE13">
        <v>0</v>
      </c>
      <c r="AF13" t="s">
        <v>34</v>
      </c>
      <c r="AG13">
        <v>5.6000000000000001E-2</v>
      </c>
      <c r="AH13">
        <v>2</v>
      </c>
      <c r="AI13">
        <v>49292396</v>
      </c>
      <c r="AJ13">
        <v>13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44" x14ac:dyDescent="0.2">
      <c r="A14">
        <f>ROW(Source!A33)</f>
        <v>33</v>
      </c>
      <c r="B14">
        <v>49292397</v>
      </c>
      <c r="C14">
        <v>49292393</v>
      </c>
      <c r="D14">
        <v>36882452</v>
      </c>
      <c r="E14">
        <v>1</v>
      </c>
      <c r="F14">
        <v>1</v>
      </c>
      <c r="G14">
        <v>1</v>
      </c>
      <c r="H14">
        <v>2</v>
      </c>
      <c r="I14" t="s">
        <v>208</v>
      </c>
      <c r="J14" t="s">
        <v>209</v>
      </c>
      <c r="K14" t="s">
        <v>210</v>
      </c>
      <c r="L14">
        <v>1368</v>
      </c>
      <c r="N14">
        <v>1011</v>
      </c>
      <c r="O14" t="s">
        <v>207</v>
      </c>
      <c r="P14" t="s">
        <v>207</v>
      </c>
      <c r="Q14">
        <v>1</v>
      </c>
      <c r="X14">
        <v>0.13</v>
      </c>
      <c r="Y14">
        <v>0</v>
      </c>
      <c r="Z14">
        <v>31.26</v>
      </c>
      <c r="AA14">
        <v>13.5</v>
      </c>
      <c r="AB14">
        <v>0</v>
      </c>
      <c r="AC14">
        <v>0</v>
      </c>
      <c r="AD14">
        <v>1</v>
      </c>
      <c r="AE14">
        <v>0</v>
      </c>
      <c r="AF14" t="s">
        <v>34</v>
      </c>
      <c r="AG14">
        <v>9.0999999999999998E-2</v>
      </c>
      <c r="AH14">
        <v>2</v>
      </c>
      <c r="AI14">
        <v>49292397</v>
      </c>
      <c r="AJ14">
        <v>14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44" x14ac:dyDescent="0.2">
      <c r="A15">
        <f>ROW(Source!A33)</f>
        <v>33</v>
      </c>
      <c r="B15">
        <v>49292398</v>
      </c>
      <c r="C15">
        <v>49292393</v>
      </c>
      <c r="D15">
        <v>36825623</v>
      </c>
      <c r="E15">
        <v>1</v>
      </c>
      <c r="F15">
        <v>1</v>
      </c>
      <c r="G15">
        <v>1</v>
      </c>
      <c r="H15">
        <v>3</v>
      </c>
      <c r="I15" t="s">
        <v>211</v>
      </c>
      <c r="J15" t="s">
        <v>212</v>
      </c>
      <c r="K15" t="s">
        <v>213</v>
      </c>
      <c r="L15">
        <v>1348</v>
      </c>
      <c r="N15">
        <v>1009</v>
      </c>
      <c r="O15" t="s">
        <v>97</v>
      </c>
      <c r="P15" t="s">
        <v>97</v>
      </c>
      <c r="Q15">
        <v>1000</v>
      </c>
      <c r="X15">
        <v>1.2999999999999999E-3</v>
      </c>
      <c r="Y15">
        <v>6500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 t="s">
        <v>33</v>
      </c>
      <c r="AG15">
        <v>0</v>
      </c>
      <c r="AH15">
        <v>2</v>
      </c>
      <c r="AI15">
        <v>49292398</v>
      </c>
      <c r="AJ15">
        <v>15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44" x14ac:dyDescent="0.2">
      <c r="A16">
        <f>ROW(Source!A33)</f>
        <v>33</v>
      </c>
      <c r="B16">
        <v>49292399</v>
      </c>
      <c r="C16">
        <v>49292393</v>
      </c>
      <c r="D16">
        <v>36825646</v>
      </c>
      <c r="E16">
        <v>1</v>
      </c>
      <c r="F16">
        <v>1</v>
      </c>
      <c r="G16">
        <v>1</v>
      </c>
      <c r="H16">
        <v>3</v>
      </c>
      <c r="I16" t="s">
        <v>214</v>
      </c>
      <c r="J16" t="s">
        <v>215</v>
      </c>
      <c r="K16" t="s">
        <v>216</v>
      </c>
      <c r="L16">
        <v>1348</v>
      </c>
      <c r="N16">
        <v>1009</v>
      </c>
      <c r="O16" t="s">
        <v>97</v>
      </c>
      <c r="P16" t="s">
        <v>97</v>
      </c>
      <c r="Q16">
        <v>1000</v>
      </c>
      <c r="X16">
        <v>0.36</v>
      </c>
      <c r="Y16">
        <v>4455.2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 t="s">
        <v>33</v>
      </c>
      <c r="AG16">
        <v>0</v>
      </c>
      <c r="AH16">
        <v>2</v>
      </c>
      <c r="AI16">
        <v>49292399</v>
      </c>
      <c r="AJ16">
        <v>16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:44" x14ac:dyDescent="0.2">
      <c r="A17">
        <f>ROW(Source!A68)</f>
        <v>68</v>
      </c>
      <c r="B17">
        <v>49291640</v>
      </c>
      <c r="C17">
        <v>49291638</v>
      </c>
      <c r="D17">
        <v>37064998</v>
      </c>
      <c r="E17">
        <v>1</v>
      </c>
      <c r="F17">
        <v>1</v>
      </c>
      <c r="G17">
        <v>1</v>
      </c>
      <c r="H17">
        <v>1</v>
      </c>
      <c r="I17" t="s">
        <v>197</v>
      </c>
      <c r="J17" t="s">
        <v>3</v>
      </c>
      <c r="K17" t="s">
        <v>198</v>
      </c>
      <c r="L17">
        <v>1191</v>
      </c>
      <c r="N17">
        <v>1013</v>
      </c>
      <c r="O17" t="s">
        <v>199</v>
      </c>
      <c r="P17" t="s">
        <v>199</v>
      </c>
      <c r="Q17">
        <v>1</v>
      </c>
      <c r="X17">
        <v>29.52</v>
      </c>
      <c r="Y17">
        <v>0</v>
      </c>
      <c r="Z17">
        <v>0</v>
      </c>
      <c r="AA17">
        <v>0</v>
      </c>
      <c r="AB17">
        <v>7.8</v>
      </c>
      <c r="AC17">
        <v>0</v>
      </c>
      <c r="AD17">
        <v>1</v>
      </c>
      <c r="AE17">
        <v>1</v>
      </c>
      <c r="AF17" t="s">
        <v>3</v>
      </c>
      <c r="AG17">
        <v>29.52</v>
      </c>
      <c r="AH17">
        <v>2</v>
      </c>
      <c r="AI17">
        <v>49291639</v>
      </c>
      <c r="AJ17">
        <v>17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:44" x14ac:dyDescent="0.2">
      <c r="A18">
        <f>ROW(Source!A69)</f>
        <v>69</v>
      </c>
      <c r="B18">
        <v>49291640</v>
      </c>
      <c r="C18">
        <v>49291638</v>
      </c>
      <c r="D18">
        <v>37064998</v>
      </c>
      <c r="E18">
        <v>1</v>
      </c>
      <c r="F18">
        <v>1</v>
      </c>
      <c r="G18">
        <v>1</v>
      </c>
      <c r="H18">
        <v>1</v>
      </c>
      <c r="I18" t="s">
        <v>197</v>
      </c>
      <c r="J18" t="s">
        <v>3</v>
      </c>
      <c r="K18" t="s">
        <v>198</v>
      </c>
      <c r="L18">
        <v>1191</v>
      </c>
      <c r="N18">
        <v>1013</v>
      </c>
      <c r="O18" t="s">
        <v>199</v>
      </c>
      <c r="P18" t="s">
        <v>199</v>
      </c>
      <c r="Q18">
        <v>1</v>
      </c>
      <c r="X18">
        <v>29.52</v>
      </c>
      <c r="Y18">
        <v>0</v>
      </c>
      <c r="Z18">
        <v>0</v>
      </c>
      <c r="AA18">
        <v>0</v>
      </c>
      <c r="AB18">
        <v>7.8</v>
      </c>
      <c r="AC18">
        <v>0</v>
      </c>
      <c r="AD18">
        <v>1</v>
      </c>
      <c r="AE18">
        <v>1</v>
      </c>
      <c r="AF18" t="s">
        <v>3</v>
      </c>
      <c r="AG18">
        <v>29.52</v>
      </c>
      <c r="AH18">
        <v>2</v>
      </c>
      <c r="AI18">
        <v>49291639</v>
      </c>
      <c r="AJ18">
        <v>18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:44" x14ac:dyDescent="0.2">
      <c r="A19">
        <f>ROW(Source!A70)</f>
        <v>70</v>
      </c>
      <c r="B19">
        <v>49292392</v>
      </c>
      <c r="C19">
        <v>49292390</v>
      </c>
      <c r="D19">
        <v>37064998</v>
      </c>
      <c r="E19">
        <v>1</v>
      </c>
      <c r="F19">
        <v>1</v>
      </c>
      <c r="G19">
        <v>1</v>
      </c>
      <c r="H19">
        <v>1</v>
      </c>
      <c r="I19" t="s">
        <v>197</v>
      </c>
      <c r="J19" t="s">
        <v>3</v>
      </c>
      <c r="K19" t="s">
        <v>198</v>
      </c>
      <c r="L19">
        <v>1191</v>
      </c>
      <c r="N19">
        <v>1013</v>
      </c>
      <c r="O19" t="s">
        <v>199</v>
      </c>
      <c r="P19" t="s">
        <v>199</v>
      </c>
      <c r="Q19">
        <v>1</v>
      </c>
      <c r="X19">
        <v>22.82</v>
      </c>
      <c r="Y19">
        <v>0</v>
      </c>
      <c r="Z19">
        <v>0</v>
      </c>
      <c r="AA19">
        <v>0</v>
      </c>
      <c r="AB19">
        <v>7.8</v>
      </c>
      <c r="AC19">
        <v>0</v>
      </c>
      <c r="AD19">
        <v>1</v>
      </c>
      <c r="AE19">
        <v>1</v>
      </c>
      <c r="AF19" t="s">
        <v>27</v>
      </c>
      <c r="AG19">
        <v>51.801400000000001</v>
      </c>
      <c r="AH19">
        <v>2</v>
      </c>
      <c r="AI19">
        <v>49292391</v>
      </c>
      <c r="AJ19">
        <v>19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:44" x14ac:dyDescent="0.2">
      <c r="A20">
        <f>ROW(Source!A71)</f>
        <v>71</v>
      </c>
      <c r="B20">
        <v>49292392</v>
      </c>
      <c r="C20">
        <v>49292390</v>
      </c>
      <c r="D20">
        <v>37064998</v>
      </c>
      <c r="E20">
        <v>1</v>
      </c>
      <c r="F20">
        <v>1</v>
      </c>
      <c r="G20">
        <v>1</v>
      </c>
      <c r="H20">
        <v>1</v>
      </c>
      <c r="I20" t="s">
        <v>197</v>
      </c>
      <c r="J20" t="s">
        <v>3</v>
      </c>
      <c r="K20" t="s">
        <v>198</v>
      </c>
      <c r="L20">
        <v>1191</v>
      </c>
      <c r="N20">
        <v>1013</v>
      </c>
      <c r="O20" t="s">
        <v>199</v>
      </c>
      <c r="P20" t="s">
        <v>199</v>
      </c>
      <c r="Q20">
        <v>1</v>
      </c>
      <c r="X20">
        <v>22.82</v>
      </c>
      <c r="Y20">
        <v>0</v>
      </c>
      <c r="Z20">
        <v>0</v>
      </c>
      <c r="AA20">
        <v>0</v>
      </c>
      <c r="AB20">
        <v>7.8</v>
      </c>
      <c r="AC20">
        <v>0</v>
      </c>
      <c r="AD20">
        <v>1</v>
      </c>
      <c r="AE20">
        <v>1</v>
      </c>
      <c r="AF20" t="s">
        <v>27</v>
      </c>
      <c r="AG20">
        <v>51.801400000000001</v>
      </c>
      <c r="AH20">
        <v>2</v>
      </c>
      <c r="AI20">
        <v>49292391</v>
      </c>
      <c r="AJ20">
        <v>20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:44" x14ac:dyDescent="0.2">
      <c r="A21">
        <f>ROW(Source!A72)</f>
        <v>72</v>
      </c>
      <c r="B21">
        <v>49292408</v>
      </c>
      <c r="C21">
        <v>49292401</v>
      </c>
      <c r="D21">
        <v>37072767</v>
      </c>
      <c r="E21">
        <v>1</v>
      </c>
      <c r="F21">
        <v>1</v>
      </c>
      <c r="G21">
        <v>1</v>
      </c>
      <c r="H21">
        <v>1</v>
      </c>
      <c r="I21" t="s">
        <v>200</v>
      </c>
      <c r="J21" t="s">
        <v>3</v>
      </c>
      <c r="K21" t="s">
        <v>201</v>
      </c>
      <c r="L21">
        <v>1191</v>
      </c>
      <c r="N21">
        <v>1013</v>
      </c>
      <c r="O21" t="s">
        <v>199</v>
      </c>
      <c r="P21" t="s">
        <v>199</v>
      </c>
      <c r="Q21">
        <v>1</v>
      </c>
      <c r="X21">
        <v>24.98</v>
      </c>
      <c r="Y21">
        <v>0</v>
      </c>
      <c r="Z21">
        <v>0</v>
      </c>
      <c r="AA21">
        <v>0</v>
      </c>
      <c r="AB21">
        <v>9.18</v>
      </c>
      <c r="AC21">
        <v>0</v>
      </c>
      <c r="AD21">
        <v>1</v>
      </c>
      <c r="AE21">
        <v>1</v>
      </c>
      <c r="AF21" t="s">
        <v>34</v>
      </c>
      <c r="AG21">
        <v>17.486000000000001</v>
      </c>
      <c r="AH21">
        <v>2</v>
      </c>
      <c r="AI21">
        <v>49292402</v>
      </c>
      <c r="AJ21">
        <v>21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:44" x14ac:dyDescent="0.2">
      <c r="A22">
        <f>ROW(Source!A72)</f>
        <v>72</v>
      </c>
      <c r="B22">
        <v>49292409</v>
      </c>
      <c r="C22">
        <v>49292401</v>
      </c>
      <c r="D22">
        <v>37064876</v>
      </c>
      <c r="E22">
        <v>1</v>
      </c>
      <c r="F22">
        <v>1</v>
      </c>
      <c r="G22">
        <v>1</v>
      </c>
      <c r="H22">
        <v>1</v>
      </c>
      <c r="I22" t="s">
        <v>202</v>
      </c>
      <c r="J22" t="s">
        <v>3</v>
      </c>
      <c r="K22" t="s">
        <v>203</v>
      </c>
      <c r="L22">
        <v>1191</v>
      </c>
      <c r="N22">
        <v>1013</v>
      </c>
      <c r="O22" t="s">
        <v>199</v>
      </c>
      <c r="P22" t="s">
        <v>199</v>
      </c>
      <c r="Q22">
        <v>1</v>
      </c>
      <c r="X22">
        <v>0.21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2</v>
      </c>
      <c r="AF22" t="s">
        <v>34</v>
      </c>
      <c r="AG22">
        <v>0.14699999999999999</v>
      </c>
      <c r="AH22">
        <v>2</v>
      </c>
      <c r="AI22">
        <v>49292403</v>
      </c>
      <c r="AJ22">
        <v>22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:44" x14ac:dyDescent="0.2">
      <c r="A23">
        <f>ROW(Source!A72)</f>
        <v>72</v>
      </c>
      <c r="B23">
        <v>49292410</v>
      </c>
      <c r="C23">
        <v>49292401</v>
      </c>
      <c r="D23">
        <v>36882383</v>
      </c>
      <c r="E23">
        <v>1</v>
      </c>
      <c r="F23">
        <v>1</v>
      </c>
      <c r="G23">
        <v>1</v>
      </c>
      <c r="H23">
        <v>2</v>
      </c>
      <c r="I23" t="s">
        <v>204</v>
      </c>
      <c r="J23" t="s">
        <v>205</v>
      </c>
      <c r="K23" t="s">
        <v>206</v>
      </c>
      <c r="L23">
        <v>1368</v>
      </c>
      <c r="N23">
        <v>1011</v>
      </c>
      <c r="O23" t="s">
        <v>207</v>
      </c>
      <c r="P23" t="s">
        <v>207</v>
      </c>
      <c r="Q23">
        <v>1</v>
      </c>
      <c r="X23">
        <v>0.08</v>
      </c>
      <c r="Y23">
        <v>0</v>
      </c>
      <c r="Z23">
        <v>89.99</v>
      </c>
      <c r="AA23">
        <v>10.06</v>
      </c>
      <c r="AB23">
        <v>0</v>
      </c>
      <c r="AC23">
        <v>0</v>
      </c>
      <c r="AD23">
        <v>1</v>
      </c>
      <c r="AE23">
        <v>0</v>
      </c>
      <c r="AF23" t="s">
        <v>34</v>
      </c>
      <c r="AG23">
        <v>5.6000000000000001E-2</v>
      </c>
      <c r="AH23">
        <v>2</v>
      </c>
      <c r="AI23">
        <v>49292404</v>
      </c>
      <c r="AJ23">
        <v>23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:44" x14ac:dyDescent="0.2">
      <c r="A24">
        <f>ROW(Source!A72)</f>
        <v>72</v>
      </c>
      <c r="B24">
        <v>49292411</v>
      </c>
      <c r="C24">
        <v>49292401</v>
      </c>
      <c r="D24">
        <v>36882452</v>
      </c>
      <c r="E24">
        <v>1</v>
      </c>
      <c r="F24">
        <v>1</v>
      </c>
      <c r="G24">
        <v>1</v>
      </c>
      <c r="H24">
        <v>2</v>
      </c>
      <c r="I24" t="s">
        <v>208</v>
      </c>
      <c r="J24" t="s">
        <v>209</v>
      </c>
      <c r="K24" t="s">
        <v>210</v>
      </c>
      <c r="L24">
        <v>1368</v>
      </c>
      <c r="N24">
        <v>1011</v>
      </c>
      <c r="O24" t="s">
        <v>207</v>
      </c>
      <c r="P24" t="s">
        <v>207</v>
      </c>
      <c r="Q24">
        <v>1</v>
      </c>
      <c r="X24">
        <v>0.13</v>
      </c>
      <c r="Y24">
        <v>0</v>
      </c>
      <c r="Z24">
        <v>31.26</v>
      </c>
      <c r="AA24">
        <v>13.5</v>
      </c>
      <c r="AB24">
        <v>0</v>
      </c>
      <c r="AC24">
        <v>0</v>
      </c>
      <c r="AD24">
        <v>1</v>
      </c>
      <c r="AE24">
        <v>0</v>
      </c>
      <c r="AF24" t="s">
        <v>34</v>
      </c>
      <c r="AG24">
        <v>9.0999999999999998E-2</v>
      </c>
      <c r="AH24">
        <v>2</v>
      </c>
      <c r="AI24">
        <v>49292405</v>
      </c>
      <c r="AJ24">
        <v>24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:44" x14ac:dyDescent="0.2">
      <c r="A25">
        <f>ROW(Source!A72)</f>
        <v>72</v>
      </c>
      <c r="B25">
        <v>49292412</v>
      </c>
      <c r="C25">
        <v>49292401</v>
      </c>
      <c r="D25">
        <v>36825623</v>
      </c>
      <c r="E25">
        <v>1</v>
      </c>
      <c r="F25">
        <v>1</v>
      </c>
      <c r="G25">
        <v>1</v>
      </c>
      <c r="H25">
        <v>3</v>
      </c>
      <c r="I25" t="s">
        <v>211</v>
      </c>
      <c r="J25" t="s">
        <v>212</v>
      </c>
      <c r="K25" t="s">
        <v>213</v>
      </c>
      <c r="L25">
        <v>1348</v>
      </c>
      <c r="N25">
        <v>1009</v>
      </c>
      <c r="O25" t="s">
        <v>97</v>
      </c>
      <c r="P25" t="s">
        <v>97</v>
      </c>
      <c r="Q25">
        <v>1000</v>
      </c>
      <c r="X25">
        <v>1.2999999999999999E-3</v>
      </c>
      <c r="Y25">
        <v>6500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 t="s">
        <v>33</v>
      </c>
      <c r="AG25">
        <v>0</v>
      </c>
      <c r="AH25">
        <v>2</v>
      </c>
      <c r="AI25">
        <v>49292406</v>
      </c>
      <c r="AJ25">
        <v>25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:44" x14ac:dyDescent="0.2">
      <c r="A26">
        <f>ROW(Source!A72)</f>
        <v>72</v>
      </c>
      <c r="B26">
        <v>49292413</v>
      </c>
      <c r="C26">
        <v>49292401</v>
      </c>
      <c r="D26">
        <v>36825646</v>
      </c>
      <c r="E26">
        <v>1</v>
      </c>
      <c r="F26">
        <v>1</v>
      </c>
      <c r="G26">
        <v>1</v>
      </c>
      <c r="H26">
        <v>3</v>
      </c>
      <c r="I26" t="s">
        <v>214</v>
      </c>
      <c r="J26" t="s">
        <v>215</v>
      </c>
      <c r="K26" t="s">
        <v>216</v>
      </c>
      <c r="L26">
        <v>1348</v>
      </c>
      <c r="N26">
        <v>1009</v>
      </c>
      <c r="O26" t="s">
        <v>97</v>
      </c>
      <c r="P26" t="s">
        <v>97</v>
      </c>
      <c r="Q26">
        <v>1000</v>
      </c>
      <c r="X26">
        <v>0.36</v>
      </c>
      <c r="Y26">
        <v>4455.2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 t="s">
        <v>33</v>
      </c>
      <c r="AG26">
        <v>0</v>
      </c>
      <c r="AH26">
        <v>2</v>
      </c>
      <c r="AI26">
        <v>49292407</v>
      </c>
      <c r="AJ26">
        <v>26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</row>
    <row r="27" spans="1:44" x14ac:dyDescent="0.2">
      <c r="A27">
        <f>ROW(Source!A73)</f>
        <v>73</v>
      </c>
      <c r="B27">
        <v>49292408</v>
      </c>
      <c r="C27">
        <v>49292401</v>
      </c>
      <c r="D27">
        <v>37072767</v>
      </c>
      <c r="E27">
        <v>1</v>
      </c>
      <c r="F27">
        <v>1</v>
      </c>
      <c r="G27">
        <v>1</v>
      </c>
      <c r="H27">
        <v>1</v>
      </c>
      <c r="I27" t="s">
        <v>200</v>
      </c>
      <c r="J27" t="s">
        <v>3</v>
      </c>
      <c r="K27" t="s">
        <v>201</v>
      </c>
      <c r="L27">
        <v>1191</v>
      </c>
      <c r="N27">
        <v>1013</v>
      </c>
      <c r="O27" t="s">
        <v>199</v>
      </c>
      <c r="P27" t="s">
        <v>199</v>
      </c>
      <c r="Q27">
        <v>1</v>
      </c>
      <c r="X27">
        <v>24.98</v>
      </c>
      <c r="Y27">
        <v>0</v>
      </c>
      <c r="Z27">
        <v>0</v>
      </c>
      <c r="AA27">
        <v>0</v>
      </c>
      <c r="AB27">
        <v>9.18</v>
      </c>
      <c r="AC27">
        <v>0</v>
      </c>
      <c r="AD27">
        <v>1</v>
      </c>
      <c r="AE27">
        <v>1</v>
      </c>
      <c r="AF27" t="s">
        <v>34</v>
      </c>
      <c r="AG27">
        <v>17.486000000000001</v>
      </c>
      <c r="AH27">
        <v>2</v>
      </c>
      <c r="AI27">
        <v>49292402</v>
      </c>
      <c r="AJ27">
        <v>27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:44" x14ac:dyDescent="0.2">
      <c r="A28">
        <f>ROW(Source!A73)</f>
        <v>73</v>
      </c>
      <c r="B28">
        <v>49292409</v>
      </c>
      <c r="C28">
        <v>49292401</v>
      </c>
      <c r="D28">
        <v>37064876</v>
      </c>
      <c r="E28">
        <v>1</v>
      </c>
      <c r="F28">
        <v>1</v>
      </c>
      <c r="G28">
        <v>1</v>
      </c>
      <c r="H28">
        <v>1</v>
      </c>
      <c r="I28" t="s">
        <v>202</v>
      </c>
      <c r="J28" t="s">
        <v>3</v>
      </c>
      <c r="K28" t="s">
        <v>203</v>
      </c>
      <c r="L28">
        <v>1191</v>
      </c>
      <c r="N28">
        <v>1013</v>
      </c>
      <c r="O28" t="s">
        <v>199</v>
      </c>
      <c r="P28" t="s">
        <v>199</v>
      </c>
      <c r="Q28">
        <v>1</v>
      </c>
      <c r="X28">
        <v>0.21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2</v>
      </c>
      <c r="AF28" t="s">
        <v>34</v>
      </c>
      <c r="AG28">
        <v>0.14699999999999999</v>
      </c>
      <c r="AH28">
        <v>2</v>
      </c>
      <c r="AI28">
        <v>49292403</v>
      </c>
      <c r="AJ28">
        <v>28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:44" x14ac:dyDescent="0.2">
      <c r="A29">
        <f>ROW(Source!A73)</f>
        <v>73</v>
      </c>
      <c r="B29">
        <v>49292410</v>
      </c>
      <c r="C29">
        <v>49292401</v>
      </c>
      <c r="D29">
        <v>36882383</v>
      </c>
      <c r="E29">
        <v>1</v>
      </c>
      <c r="F29">
        <v>1</v>
      </c>
      <c r="G29">
        <v>1</v>
      </c>
      <c r="H29">
        <v>2</v>
      </c>
      <c r="I29" t="s">
        <v>204</v>
      </c>
      <c r="J29" t="s">
        <v>205</v>
      </c>
      <c r="K29" t="s">
        <v>206</v>
      </c>
      <c r="L29">
        <v>1368</v>
      </c>
      <c r="N29">
        <v>1011</v>
      </c>
      <c r="O29" t="s">
        <v>207</v>
      </c>
      <c r="P29" t="s">
        <v>207</v>
      </c>
      <c r="Q29">
        <v>1</v>
      </c>
      <c r="X29">
        <v>0.08</v>
      </c>
      <c r="Y29">
        <v>0</v>
      </c>
      <c r="Z29">
        <v>89.99</v>
      </c>
      <c r="AA29">
        <v>10.06</v>
      </c>
      <c r="AB29">
        <v>0</v>
      </c>
      <c r="AC29">
        <v>0</v>
      </c>
      <c r="AD29">
        <v>1</v>
      </c>
      <c r="AE29">
        <v>0</v>
      </c>
      <c r="AF29" t="s">
        <v>34</v>
      </c>
      <c r="AG29">
        <v>5.6000000000000001E-2</v>
      </c>
      <c r="AH29">
        <v>2</v>
      </c>
      <c r="AI29">
        <v>49292404</v>
      </c>
      <c r="AJ29">
        <v>29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:44" x14ac:dyDescent="0.2">
      <c r="A30">
        <f>ROW(Source!A73)</f>
        <v>73</v>
      </c>
      <c r="B30">
        <v>49292411</v>
      </c>
      <c r="C30">
        <v>49292401</v>
      </c>
      <c r="D30">
        <v>36882452</v>
      </c>
      <c r="E30">
        <v>1</v>
      </c>
      <c r="F30">
        <v>1</v>
      </c>
      <c r="G30">
        <v>1</v>
      </c>
      <c r="H30">
        <v>2</v>
      </c>
      <c r="I30" t="s">
        <v>208</v>
      </c>
      <c r="J30" t="s">
        <v>209</v>
      </c>
      <c r="K30" t="s">
        <v>210</v>
      </c>
      <c r="L30">
        <v>1368</v>
      </c>
      <c r="N30">
        <v>1011</v>
      </c>
      <c r="O30" t="s">
        <v>207</v>
      </c>
      <c r="P30" t="s">
        <v>207</v>
      </c>
      <c r="Q30">
        <v>1</v>
      </c>
      <c r="X30">
        <v>0.13</v>
      </c>
      <c r="Y30">
        <v>0</v>
      </c>
      <c r="Z30">
        <v>31.26</v>
      </c>
      <c r="AA30">
        <v>13.5</v>
      </c>
      <c r="AB30">
        <v>0</v>
      </c>
      <c r="AC30">
        <v>0</v>
      </c>
      <c r="AD30">
        <v>1</v>
      </c>
      <c r="AE30">
        <v>0</v>
      </c>
      <c r="AF30" t="s">
        <v>34</v>
      </c>
      <c r="AG30">
        <v>9.0999999999999998E-2</v>
      </c>
      <c r="AH30">
        <v>2</v>
      </c>
      <c r="AI30">
        <v>49292405</v>
      </c>
      <c r="AJ30">
        <v>30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:44" x14ac:dyDescent="0.2">
      <c r="A31">
        <f>ROW(Source!A73)</f>
        <v>73</v>
      </c>
      <c r="B31">
        <v>49292412</v>
      </c>
      <c r="C31">
        <v>49292401</v>
      </c>
      <c r="D31">
        <v>36825623</v>
      </c>
      <c r="E31">
        <v>1</v>
      </c>
      <c r="F31">
        <v>1</v>
      </c>
      <c r="G31">
        <v>1</v>
      </c>
      <c r="H31">
        <v>3</v>
      </c>
      <c r="I31" t="s">
        <v>211</v>
      </c>
      <c r="J31" t="s">
        <v>212</v>
      </c>
      <c r="K31" t="s">
        <v>213</v>
      </c>
      <c r="L31">
        <v>1348</v>
      </c>
      <c r="N31">
        <v>1009</v>
      </c>
      <c r="O31" t="s">
        <v>97</v>
      </c>
      <c r="P31" t="s">
        <v>97</v>
      </c>
      <c r="Q31">
        <v>1000</v>
      </c>
      <c r="X31">
        <v>1.2999999999999999E-3</v>
      </c>
      <c r="Y31">
        <v>6500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 t="s">
        <v>33</v>
      </c>
      <c r="AG31">
        <v>0</v>
      </c>
      <c r="AH31">
        <v>2</v>
      </c>
      <c r="AI31">
        <v>49292406</v>
      </c>
      <c r="AJ31">
        <v>31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</row>
    <row r="32" spans="1:44" x14ac:dyDescent="0.2">
      <c r="A32">
        <f>ROW(Source!A73)</f>
        <v>73</v>
      </c>
      <c r="B32">
        <v>49292413</v>
      </c>
      <c r="C32">
        <v>49292401</v>
      </c>
      <c r="D32">
        <v>36825646</v>
      </c>
      <c r="E32">
        <v>1</v>
      </c>
      <c r="F32">
        <v>1</v>
      </c>
      <c r="G32">
        <v>1</v>
      </c>
      <c r="H32">
        <v>3</v>
      </c>
      <c r="I32" t="s">
        <v>214</v>
      </c>
      <c r="J32" t="s">
        <v>215</v>
      </c>
      <c r="K32" t="s">
        <v>216</v>
      </c>
      <c r="L32">
        <v>1348</v>
      </c>
      <c r="N32">
        <v>1009</v>
      </c>
      <c r="O32" t="s">
        <v>97</v>
      </c>
      <c r="P32" t="s">
        <v>97</v>
      </c>
      <c r="Q32">
        <v>1000</v>
      </c>
      <c r="X32">
        <v>0.36</v>
      </c>
      <c r="Y32">
        <v>4455.2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 t="s">
        <v>33</v>
      </c>
      <c r="AG32">
        <v>0</v>
      </c>
      <c r="AH32">
        <v>2</v>
      </c>
      <c r="AI32">
        <v>49292407</v>
      </c>
      <c r="AJ32">
        <v>32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</row>
    <row r="33" spans="1:44" x14ac:dyDescent="0.2">
      <c r="A33">
        <f>ROW(Source!A108)</f>
        <v>108</v>
      </c>
      <c r="B33">
        <v>49291669</v>
      </c>
      <c r="C33">
        <v>49291666</v>
      </c>
      <c r="D33">
        <v>37068110</v>
      </c>
      <c r="E33">
        <v>1</v>
      </c>
      <c r="F33">
        <v>1</v>
      </c>
      <c r="G33">
        <v>1</v>
      </c>
      <c r="H33">
        <v>1</v>
      </c>
      <c r="I33" t="s">
        <v>217</v>
      </c>
      <c r="J33" t="s">
        <v>3</v>
      </c>
      <c r="K33" t="s">
        <v>218</v>
      </c>
      <c r="L33">
        <v>1191</v>
      </c>
      <c r="N33">
        <v>1013</v>
      </c>
      <c r="O33" t="s">
        <v>199</v>
      </c>
      <c r="P33" t="s">
        <v>199</v>
      </c>
      <c r="Q33">
        <v>1</v>
      </c>
      <c r="X33">
        <v>1.03</v>
      </c>
      <c r="Y33">
        <v>0</v>
      </c>
      <c r="Z33">
        <v>0</v>
      </c>
      <c r="AA33">
        <v>0</v>
      </c>
      <c r="AB33">
        <v>7.19</v>
      </c>
      <c r="AC33">
        <v>0</v>
      </c>
      <c r="AD33">
        <v>1</v>
      </c>
      <c r="AE33">
        <v>1</v>
      </c>
      <c r="AF33" t="s">
        <v>3</v>
      </c>
      <c r="AG33">
        <v>1.03</v>
      </c>
      <c r="AH33">
        <v>2</v>
      </c>
      <c r="AI33">
        <v>49291667</v>
      </c>
      <c r="AJ33">
        <v>33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</row>
    <row r="34" spans="1:44" x14ac:dyDescent="0.2">
      <c r="A34">
        <f>ROW(Source!A108)</f>
        <v>108</v>
      </c>
      <c r="B34">
        <v>49291670</v>
      </c>
      <c r="C34">
        <v>49291666</v>
      </c>
      <c r="D34">
        <v>36805490</v>
      </c>
      <c r="E34">
        <v>1</v>
      </c>
      <c r="F34">
        <v>1</v>
      </c>
      <c r="G34">
        <v>1</v>
      </c>
      <c r="H34">
        <v>3</v>
      </c>
      <c r="I34" t="s">
        <v>219</v>
      </c>
      <c r="J34" t="s">
        <v>220</v>
      </c>
      <c r="K34" t="s">
        <v>221</v>
      </c>
      <c r="L34">
        <v>1355</v>
      </c>
      <c r="N34">
        <v>1010</v>
      </c>
      <c r="O34" t="s">
        <v>222</v>
      </c>
      <c r="P34" t="s">
        <v>222</v>
      </c>
      <c r="Q34">
        <v>100</v>
      </c>
      <c r="X34">
        <v>0.2</v>
      </c>
      <c r="Y34">
        <v>82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 t="s">
        <v>3</v>
      </c>
      <c r="AG34">
        <v>0.2</v>
      </c>
      <c r="AH34">
        <v>2</v>
      </c>
      <c r="AI34">
        <v>49291668</v>
      </c>
      <c r="AJ34">
        <v>34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</row>
    <row r="35" spans="1:44" x14ac:dyDescent="0.2">
      <c r="A35">
        <f>ROW(Source!A109)</f>
        <v>109</v>
      </c>
      <c r="B35">
        <v>49291669</v>
      </c>
      <c r="C35">
        <v>49291666</v>
      </c>
      <c r="D35">
        <v>37068110</v>
      </c>
      <c r="E35">
        <v>1</v>
      </c>
      <c r="F35">
        <v>1</v>
      </c>
      <c r="G35">
        <v>1</v>
      </c>
      <c r="H35">
        <v>1</v>
      </c>
      <c r="I35" t="s">
        <v>217</v>
      </c>
      <c r="J35" t="s">
        <v>3</v>
      </c>
      <c r="K35" t="s">
        <v>218</v>
      </c>
      <c r="L35">
        <v>1191</v>
      </c>
      <c r="N35">
        <v>1013</v>
      </c>
      <c r="O35" t="s">
        <v>199</v>
      </c>
      <c r="P35" t="s">
        <v>199</v>
      </c>
      <c r="Q35">
        <v>1</v>
      </c>
      <c r="X35">
        <v>1.03</v>
      </c>
      <c r="Y35">
        <v>0</v>
      </c>
      <c r="Z35">
        <v>0</v>
      </c>
      <c r="AA35">
        <v>0</v>
      </c>
      <c r="AB35">
        <v>7.19</v>
      </c>
      <c r="AC35">
        <v>0</v>
      </c>
      <c r="AD35">
        <v>1</v>
      </c>
      <c r="AE35">
        <v>1</v>
      </c>
      <c r="AF35" t="s">
        <v>3</v>
      </c>
      <c r="AG35">
        <v>1.03</v>
      </c>
      <c r="AH35">
        <v>2</v>
      </c>
      <c r="AI35">
        <v>49291667</v>
      </c>
      <c r="AJ35">
        <v>35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</row>
    <row r="36" spans="1:44" x14ac:dyDescent="0.2">
      <c r="A36">
        <f>ROW(Source!A109)</f>
        <v>109</v>
      </c>
      <c r="B36">
        <v>49291670</v>
      </c>
      <c r="C36">
        <v>49291666</v>
      </c>
      <c r="D36">
        <v>36805490</v>
      </c>
      <c r="E36">
        <v>1</v>
      </c>
      <c r="F36">
        <v>1</v>
      </c>
      <c r="G36">
        <v>1</v>
      </c>
      <c r="H36">
        <v>3</v>
      </c>
      <c r="I36" t="s">
        <v>219</v>
      </c>
      <c r="J36" t="s">
        <v>220</v>
      </c>
      <c r="K36" t="s">
        <v>221</v>
      </c>
      <c r="L36">
        <v>1355</v>
      </c>
      <c r="N36">
        <v>1010</v>
      </c>
      <c r="O36" t="s">
        <v>222</v>
      </c>
      <c r="P36" t="s">
        <v>222</v>
      </c>
      <c r="Q36">
        <v>100</v>
      </c>
      <c r="X36">
        <v>0.2</v>
      </c>
      <c r="Y36">
        <v>82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 t="s">
        <v>3</v>
      </c>
      <c r="AG36">
        <v>0.2</v>
      </c>
      <c r="AH36">
        <v>2</v>
      </c>
      <c r="AI36">
        <v>49291668</v>
      </c>
      <c r="AJ36">
        <v>36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</row>
  </sheetData>
  <printOptions gridLines="1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</vt:i4>
      </vt:variant>
    </vt:vector>
  </HeadingPairs>
  <TitlesOfParts>
    <vt:vector size="14" baseType="lpstr">
      <vt:lpstr>Смета 12 гр. по ФЕР</vt:lpstr>
      <vt:lpstr>Ведомость объемов работ</vt:lpstr>
      <vt:lpstr>RV_DATA</vt:lpstr>
      <vt:lpstr>Расчет стоимости ресурсов</vt:lpstr>
      <vt:lpstr>Source</vt:lpstr>
      <vt:lpstr>SourceObSm</vt:lpstr>
      <vt:lpstr>SmtRes</vt:lpstr>
      <vt:lpstr>EtalonRes</vt:lpstr>
      <vt:lpstr>'Ведомость объемов работ'!Заголовки_для_печати</vt:lpstr>
      <vt:lpstr>'Расчет стоимости ресурсов'!Заголовки_для_печати</vt:lpstr>
      <vt:lpstr>'Смета 12 гр. по ФЕР'!Заголовки_для_печати</vt:lpstr>
      <vt:lpstr>'Ведомость объемов работ'!Область_печати</vt:lpstr>
      <vt:lpstr>'Расчет стоимости ресурсов'!Область_печати</vt:lpstr>
      <vt:lpstr>'Смета 12 гр. по ФЕР'!Область_печати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Игольников Александр Александрович</dc:creator>
  <cp:lastModifiedBy>Пользователь Windows</cp:lastModifiedBy>
  <dcterms:created xsi:type="dcterms:W3CDTF">2019-09-02T14:44:13Z</dcterms:created>
  <dcterms:modified xsi:type="dcterms:W3CDTF">2021-01-11T00:18:23Z</dcterms:modified>
</cp:coreProperties>
</file>