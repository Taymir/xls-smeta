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/>
  </bookViews>
  <sheets>
    <sheet name="Описание" sheetId="22" r:id="rId1"/>
    <sheet name="Список бюджетов" sheetId="9" r:id="rId2"/>
    <sheet name="КП-5" sheetId="10" r:id="rId3"/>
    <sheet name="ДМЦ" sheetId="11" r:id="rId4"/>
    <sheet name="default" sheetId="13" r:id="rId5"/>
    <sheet name="RV_DATA" sheetId="8" state="hidden" r:id="rId6"/>
    <sheet name="SourceObSm" sheetId="2" state="hidden" r:id="rId7"/>
    <sheet name="SmtRes" sheetId="3" state="hidden" r:id="rId8"/>
    <sheet name="EtalonRes" sheetId="4" state="hidden" r:id="rId9"/>
  </sheets>
  <functionGroups builtInGroupCount="18"/>
  <externalReferences>
    <externalReference r:id="rId10"/>
  </externalReferences>
  <calcPr calcId="162913"/>
</workbook>
</file>

<file path=xl/calcChain.xml><?xml version="1.0" encoding="utf-8"?>
<calcChain xmlns="http://schemas.openxmlformats.org/spreadsheetml/2006/main">
  <c r="F2" i="11" l="1"/>
  <c r="G2" i="11" s="1"/>
  <c r="E2" i="11"/>
  <c r="B4" i="11"/>
  <c r="B6" i="11"/>
  <c r="D2" i="11"/>
  <c r="B5" i="11" l="1"/>
  <c r="B1" i="11"/>
  <c r="B3" i="11"/>
  <c r="U20" i="8" l="1"/>
  <c r="I20" i="8"/>
  <c r="H20" i="8"/>
  <c r="G20" i="8"/>
  <c r="F20" i="8"/>
  <c r="E20" i="8"/>
  <c r="D20" i="8"/>
  <c r="A20" i="8"/>
  <c r="U19" i="8"/>
  <c r="S19" i="8"/>
  <c r="P19" i="8"/>
  <c r="N19" i="8"/>
  <c r="K19" i="8"/>
  <c r="J19" i="8"/>
  <c r="I19" i="8"/>
  <c r="H19" i="8"/>
  <c r="G19" i="8"/>
  <c r="F19" i="8"/>
  <c r="E19" i="8"/>
  <c r="A19" i="8"/>
  <c r="U18" i="8"/>
  <c r="S18" i="8"/>
  <c r="P18" i="8"/>
  <c r="N18" i="8"/>
  <c r="K18" i="8"/>
  <c r="J18" i="8"/>
  <c r="I18" i="8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N15" i="8"/>
  <c r="K15" i="8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J11" i="8"/>
  <c r="H11" i="8"/>
  <c r="G11" i="8"/>
  <c r="F11" i="8"/>
  <c r="E11" i="8"/>
  <c r="A11" i="8"/>
  <c r="U10" i="8"/>
  <c r="S10" i="8"/>
  <c r="P10" i="8"/>
  <c r="N10" i="8"/>
  <c r="K10" i="8"/>
  <c r="J10" i="8"/>
  <c r="H10" i="8"/>
  <c r="G10" i="8"/>
  <c r="F10" i="8"/>
  <c r="E10" i="8"/>
  <c r="A10" i="8"/>
  <c r="U9" i="8"/>
  <c r="S9" i="8"/>
  <c r="P9" i="8"/>
  <c r="N9" i="8"/>
  <c r="K9" i="8"/>
  <c r="J9" i="8"/>
  <c r="H9" i="8"/>
  <c r="G9" i="8"/>
  <c r="F9" i="8"/>
  <c r="E9" i="8"/>
  <c r="A9" i="8"/>
  <c r="U8" i="8"/>
  <c r="S8" i="8"/>
  <c r="P8" i="8"/>
  <c r="N8" i="8"/>
  <c r="K8" i="8"/>
  <c r="J8" i="8"/>
  <c r="H8" i="8"/>
  <c r="G8" i="8"/>
  <c r="F8" i="8"/>
  <c r="E8" i="8"/>
  <c r="A8" i="8"/>
  <c r="G7" i="8"/>
  <c r="A7" i="8"/>
  <c r="G6" i="8"/>
  <c r="A6" i="8"/>
  <c r="A1" i="4" l="1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CX1" i="3"/>
  <c r="CX2" i="3"/>
  <c r="CX17" i="3"/>
  <c r="CX18" i="3"/>
  <c r="B47" i="2"/>
  <c r="B48" i="2"/>
  <c r="T19" i="8" l="1"/>
  <c r="R19" i="8"/>
  <c r="O14" i="8"/>
  <c r="M14" i="8"/>
  <c r="T11" i="8"/>
  <c r="R11" i="8"/>
  <c r="M19" i="8"/>
  <c r="O19" i="8"/>
  <c r="T15" i="8"/>
  <c r="R15" i="8"/>
  <c r="M11" i="8"/>
  <c r="O11" i="8"/>
  <c r="O8" i="8"/>
  <c r="M8" i="8"/>
  <c r="M13" i="8"/>
  <c r="O13" i="8"/>
  <c r="O10" i="8"/>
  <c r="M10" i="8"/>
  <c r="P20" i="8"/>
  <c r="R20" i="8" s="1"/>
  <c r="S20" i="8"/>
  <c r="T20" i="8" s="1"/>
  <c r="I15" i="8"/>
  <c r="I16" i="8"/>
  <c r="I14" i="8"/>
  <c r="CX20" i="3"/>
  <c r="I13" i="8"/>
  <c r="T18" i="8"/>
  <c r="R18" i="8"/>
  <c r="T13" i="8"/>
  <c r="R13" i="8"/>
  <c r="T10" i="8"/>
  <c r="R10" i="8"/>
  <c r="I11" i="8"/>
  <c r="I9" i="8"/>
  <c r="I10" i="8"/>
  <c r="O18" i="8"/>
  <c r="M18" i="8"/>
  <c r="O16" i="8"/>
  <c r="M16" i="8"/>
  <c r="M9" i="8"/>
  <c r="O9" i="8"/>
  <c r="CX14" i="3"/>
  <c r="K20" i="8"/>
  <c r="N20" i="8"/>
  <c r="CX4" i="3"/>
  <c r="I8" i="8"/>
  <c r="T14" i="8"/>
  <c r="R14" i="8"/>
  <c r="M15" i="8"/>
  <c r="O15" i="8"/>
  <c r="T16" i="8"/>
  <c r="R16" i="8"/>
  <c r="T9" i="8"/>
  <c r="R9" i="8"/>
  <c r="T8" i="8"/>
  <c r="R8" i="8"/>
  <c r="CX19" i="3"/>
  <c r="CX29" i="3"/>
  <c r="CX28" i="3"/>
  <c r="CX32" i="3"/>
  <c r="CX27" i="3"/>
  <c r="CX31" i="3"/>
  <c r="CX30" i="3"/>
  <c r="CX3" i="3"/>
  <c r="CX13" i="3"/>
  <c r="CX12" i="3"/>
  <c r="CX16" i="3"/>
  <c r="CX11" i="3"/>
  <c r="CX15" i="3"/>
  <c r="O20" i="8" l="1"/>
  <c r="M20" i="8"/>
  <c r="CX5" i="3"/>
  <c r="CX9" i="3"/>
  <c r="CX8" i="3"/>
  <c r="CX7" i="3"/>
  <c r="CX10" i="3"/>
  <c r="CX6" i="3"/>
  <c r="CX21" i="3"/>
  <c r="CX25" i="3"/>
  <c r="CX24" i="3"/>
  <c r="CX23" i="3"/>
  <c r="CX26" i="3"/>
  <c r="CX22" i="3"/>
  <c r="U16" i="2" l="1"/>
  <c r="U18" i="2" s="1"/>
  <c r="F16" i="2" l="1"/>
  <c r="F18" i="2" s="1"/>
  <c r="J16" i="2"/>
  <c r="J18" i="2" s="1"/>
  <c r="V16" i="2"/>
  <c r="V18" i="2" s="1"/>
  <c r="G16" i="2"/>
  <c r="G18" i="2" s="1"/>
  <c r="H16" i="2" l="1"/>
  <c r="H18" i="2" s="1"/>
  <c r="Y16" i="2"/>
  <c r="Y18" i="2" s="1"/>
  <c r="E16" i="2" l="1"/>
  <c r="I16" i="2" s="1"/>
  <c r="I18" i="2" s="1"/>
  <c r="T16" i="2"/>
  <c r="W16" i="2"/>
  <c r="W18" i="2" s="1"/>
  <c r="E18" i="2" l="1"/>
  <c r="X16" i="2"/>
  <c r="X18" i="2" s="1"/>
  <c r="T18" i="2"/>
</calcChain>
</file>

<file path=xl/sharedStrings.xml><?xml version="1.0" encoding="utf-8"?>
<sst xmlns="http://schemas.openxmlformats.org/spreadsheetml/2006/main" count="935" uniqueCount="379">
  <si>
    <t>Smeta.RU Flash  (495) 974-1589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</si>
  <si>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</si>
  <si>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</si>
  <si>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</si>
  <si>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</si>
  <si>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</si>
  <si>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</si>
  <si>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</si>
  <si>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</si>
  <si>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</si>
  <si>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</si>
  <si>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</si>
  <si>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</si>
  <si>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Общестроительные работы</t>
  </si>
  <si>
    <t>)*2,27</t>
  </si>
  <si>
    <t>)*0</t>
  </si>
  <si>
    <t>)*0,7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</si>
  <si>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</si>
  <si>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</si>
  <si>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</si>
  <si>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</si>
  <si>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</si>
  <si>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</si>
  <si>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</si>
  <si>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</si>
  <si>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</si>
  <si>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</si>
  <si>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</si>
  <si>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</si>
  <si>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</si>
  <si>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</si>
  <si>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</si>
  <si>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</si>
  <si>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</si>
  <si>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</si>
  <si>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</si>
  <si>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</si>
  <si>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</si>
  <si>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</si>
  <si>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</si>
  <si>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</si>
  <si>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</si>
  <si>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</si>
  <si>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</si>
  <si>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</si>
  <si>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</si>
  <si>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</si>
  <si>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</si>
  <si>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</si>
  <si>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</si>
  <si>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</si>
  <si>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</si>
  <si>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</si>
  <si>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</si>
  <si>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</si>
  <si>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</si>
  <si>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</si>
  <si>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</si>
  <si>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</si>
  <si>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</si>
  <si>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</si>
  <si>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</si>
  <si>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</si>
  <si>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</si>
  <si>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</si>
  <si>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</si>
  <si>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</si>
  <si>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</si>
  <si>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</si>
  <si>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т</t>
  </si>
  <si>
    <t>Итого</t>
  </si>
  <si>
    <t>И1</t>
  </si>
  <si>
    <t>В т.ч. оборудование</t>
  </si>
  <si>
    <t>И2</t>
  </si>
  <si>
    <t>В т.ч. прочие</t>
  </si>
  <si>
    <t>Зимнее удорожание 1,41%</t>
  </si>
  <si>
    <t>И4</t>
  </si>
  <si>
    <t>И7</t>
  </si>
  <si>
    <t>НДС 20%</t>
  </si>
  <si>
    <t>И8</t>
  </si>
  <si>
    <t>ВСЕГО С НДС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</si>
  <si>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</si>
  <si>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</si>
  <si>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</si>
  <si>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</si>
  <si>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</si>
  <si>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</si>
  <si>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</si>
  <si>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</si>
  <si>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</si>
  <si>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</si>
  <si>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</si>
  <si>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</si>
  <si>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</si>
  <si>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</si>
  <si>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</si>
  <si>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</si>
  <si>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</si>
  <si>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</si>
  <si>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</si>
  <si>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</si>
  <si>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</si>
  <si>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</si>
  <si>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</si>
  <si>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</si>
  <si>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</si>
  <si>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</si>
  <si>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</si>
  <si>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</si>
  <si>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</si>
  <si>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</si>
  <si>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</si>
  <si>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</si>
  <si>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</si>
  <si>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</si>
  <si>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</si>
  <si>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</si>
  <si>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</si>
  <si>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</si>
  <si>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</si>
  <si>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</si>
  <si>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</si>
  <si>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</si>
  <si>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</si>
  <si>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</si>
  <si>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</si>
  <si>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</si>
  <si>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</si>
  <si>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</si>
  <si>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</si>
  <si>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</si>
  <si>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</si>
  <si>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</si>
  <si>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</si>
  <si>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</si>
  <si>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</si>
  <si>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</si>
  <si>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</si>
  <si>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</si>
  <si>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</si>
  <si>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</si>
  <si>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</si>
  <si>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</si>
  <si>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</si>
  <si>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</si>
  <si>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КП-5</t>
  </si>
  <si>
    <t>ДМЦ</t>
  </si>
  <si>
    <t>Комплекс зданий по адресу: г. Москва, Красная площадь, д.5" для размещения Музейно-выставочного комплекса Музеев Московского Кремля</t>
  </si>
  <si>
    <t>Лист</t>
  </si>
  <si>
    <t>Наименование объекта</t>
  </si>
  <si>
    <t>АУП</t>
  </si>
  <si>
    <t>Генподряд</t>
  </si>
  <si>
    <t>РСУ</t>
  </si>
  <si>
    <t>Фонд</t>
  </si>
  <si>
    <t>Финансовый результат</t>
  </si>
  <si>
    <t>НДС к уплате в бюджет</t>
  </si>
  <si>
    <t>Валовая прибыль</t>
  </si>
  <si>
    <t>Налог на прибыль</t>
  </si>
  <si>
    <t>02-01-01</t>
  </si>
  <si>
    <t>1.1.1.1.</t>
  </si>
  <si>
    <t>Реставрация главного фасада</t>
  </si>
  <si>
    <t>1.1.2.1.</t>
  </si>
  <si>
    <t>Сопутствующие работы</t>
  </si>
  <si>
    <t>02-01-02</t>
  </si>
  <si>
    <t>1.1.3.1.</t>
  </si>
  <si>
    <t>Работы по реставрации главного фасада (доп работы)</t>
  </si>
  <si>
    <t>02-01-03</t>
  </si>
  <si>
    <t>1.1.4.1.</t>
  </si>
  <si>
    <t>Вычинка К/К блок А</t>
  </si>
  <si>
    <t>1.1.5.1.</t>
  </si>
  <si>
    <t>02-01-04</t>
  </si>
  <si>
    <t>1.1.6.1.</t>
  </si>
  <si>
    <t>Вычинка К/К блок Б</t>
  </si>
  <si>
    <t>1.1.7.1.</t>
  </si>
  <si>
    <t>02-01-05</t>
  </si>
  <si>
    <t>1.1.8.1</t>
  </si>
  <si>
    <t>Работы по реставрации внутренних чугунных лестниц. Блоки А и Б</t>
  </si>
  <si>
    <t>02-01-06</t>
  </si>
  <si>
    <t>1.1.9.1.</t>
  </si>
  <si>
    <t>1.1.10.1.</t>
  </si>
  <si>
    <t>02-01-07</t>
  </si>
  <si>
    <t>1.1.11.1.</t>
  </si>
  <si>
    <t>Работы по реставрации дворового фасада , блок А</t>
  </si>
  <si>
    <t>1.1.12.1.</t>
  </si>
  <si>
    <t>02-01-08</t>
  </si>
  <si>
    <t>1.1.13.1.</t>
  </si>
  <si>
    <t>Работы по реставрации дворового фасада , блок Б</t>
  </si>
  <si>
    <t>1.1.14.1.</t>
  </si>
  <si>
    <t>02-01-09</t>
  </si>
  <si>
    <t>1.1.15.1.</t>
  </si>
  <si>
    <t>Работы по реставрации дворового фасада , блок А и Б, доп работы</t>
  </si>
  <si>
    <t>1.1.16.1.</t>
  </si>
  <si>
    <t>02-01-10</t>
  </si>
  <si>
    <t>1.1.17.1.</t>
  </si>
  <si>
    <t>Зондажи фасадов</t>
  </si>
  <si>
    <t>1.1.18.1.</t>
  </si>
  <si>
    <t>02-02-01.0</t>
  </si>
  <si>
    <t>1.2.1.1.</t>
  </si>
  <si>
    <t>02-02-02.0</t>
  </si>
  <si>
    <t>1.2.2.1.</t>
  </si>
  <si>
    <t>Гидроизоляция</t>
  </si>
  <si>
    <t>02-01-04.1</t>
  </si>
  <si>
    <t>1.2.3.1.</t>
  </si>
  <si>
    <t>Силовое электрооборудование. Планы сетей.</t>
  </si>
  <si>
    <t>02-01-05.1</t>
  </si>
  <si>
    <t>1.2.4.1.</t>
  </si>
  <si>
    <t>Электроосвещение внутреннее. Доп. работы.</t>
  </si>
  <si>
    <t>02-01-06.1</t>
  </si>
  <si>
    <t>1.2.5.1.</t>
  </si>
  <si>
    <t>Молниезащита и заземление</t>
  </si>
  <si>
    <t>02-01-07.0</t>
  </si>
  <si>
    <t>1.2.6.1.</t>
  </si>
  <si>
    <t>Демонтаж технологического оборудования</t>
  </si>
  <si>
    <t>02-01-08.0</t>
  </si>
  <si>
    <t>1.2.7.1.</t>
  </si>
  <si>
    <t>Монтаж лифтов. Доп. работы.</t>
  </si>
  <si>
    <t>02-01-09.1</t>
  </si>
  <si>
    <t>1.2.8.1.</t>
  </si>
  <si>
    <t>Монтаж систем внутреннего водоснабжения и водоотведения.
Дополнительные  работы по проекту 2016г.</t>
  </si>
  <si>
    <t>02-01-10.1</t>
  </si>
  <si>
    <t>1.2.9.1.</t>
  </si>
  <si>
    <t>Монтаж системы отопления. Доп. работы.</t>
  </si>
  <si>
    <t>02-01-11.1</t>
  </si>
  <si>
    <t>1.2.10.1.</t>
  </si>
  <si>
    <t>Монтаж системы вентиляции.</t>
  </si>
  <si>
    <t>02-01-12.1</t>
  </si>
  <si>
    <t>1.2.11.1.</t>
  </si>
  <si>
    <t>Система кондиционирования воздуха. Дополнительные  работы по проекту 2016г.</t>
  </si>
  <si>
    <t>02-01-13.1</t>
  </si>
  <si>
    <t>1.2.12.1.</t>
  </si>
  <si>
    <t>Система автоматического водяного пожаротушения. Доп.работы по проекту 2016г</t>
  </si>
  <si>
    <t>02-01-14.1</t>
  </si>
  <si>
    <t>1.2.13.1.</t>
  </si>
  <si>
    <t>ОЗДС. Дополнительные работы по проекту 2016г.</t>
  </si>
  <si>
    <t>02-01-15.0</t>
  </si>
  <si>
    <t>1.2.14.1.</t>
  </si>
  <si>
    <t>Система часофикации. Дополнительные работы по проекту 2016г.</t>
  </si>
  <si>
    <t>02-01-16.0</t>
  </si>
  <si>
    <t>1.2.15.1.</t>
  </si>
  <si>
    <t>Система радиотрансляции. Дополнительные  работы по проекту 2016г.</t>
  </si>
  <si>
    <t>02-01-17.1</t>
  </si>
  <si>
    <t>1.2.16.1.</t>
  </si>
  <si>
    <t>Система коллективного приема вещительного телевидения.
Дополнительные работы по проекту 2016г.</t>
  </si>
  <si>
    <t>02-01-18.0</t>
  </si>
  <si>
    <t>1.2.17.1.</t>
  </si>
  <si>
    <t>Система охранного телевидения</t>
  </si>
  <si>
    <t>02-01-19.0</t>
  </si>
  <si>
    <t>1.2.18.1.</t>
  </si>
  <si>
    <t>Центральный тепловой пункт. Доп. работы по проекту 2016г.</t>
  </si>
  <si>
    <t>02-01-20.0</t>
  </si>
  <si>
    <t>1.2.19.1.</t>
  </si>
  <si>
    <t>Кабельные конструкции слаботочных систем</t>
  </si>
  <si>
    <t>02-01-21.1</t>
  </si>
  <si>
    <t>1.2.20.1.</t>
  </si>
  <si>
    <t>Система контроля и управления доступом.</t>
  </si>
  <si>
    <t>02-01-22.0</t>
  </si>
  <si>
    <t>1.2.21.1.</t>
  </si>
  <si>
    <t>Структурированная кабельная сеть (Корпус А)</t>
  </si>
  <si>
    <t>02-01-23.0</t>
  </si>
  <si>
    <t>1.2.22.1.</t>
  </si>
  <si>
    <t>Структурированная кабельная сеть корпуса Б.  Дополнительные работы по проекту 2016г.</t>
  </si>
  <si>
    <t>02-01-24.1</t>
  </si>
  <si>
    <t>1.2.23.1.</t>
  </si>
  <si>
    <t>Автоматизация внутренних инженерных систем. Доп. работы по проекту 2016г</t>
  </si>
  <si>
    <t>02-01-25.0</t>
  </si>
  <si>
    <t>1.2.24.1.</t>
  </si>
  <si>
    <t>Диспетчеризация электроснабжения. Дополнительные работы по проекту 2016г.</t>
  </si>
  <si>
    <t>02-01-26</t>
  </si>
  <si>
    <t>1.2.25.1.</t>
  </si>
  <si>
    <t>Автоматизация противодымной защиты. Дополнительные работы по проекту 2016г._</t>
  </si>
  <si>
    <t>02-01-27</t>
  </si>
  <si>
    <t>1.2.26.1.</t>
  </si>
  <si>
    <t>Медицинские газы. Дополнительные работы по проекту 2016г.</t>
  </si>
  <si>
    <t>02-01-28.1</t>
  </si>
  <si>
    <t>1.2.27.1.</t>
  </si>
  <si>
    <t>Пожарная сигнализация</t>
  </si>
  <si>
    <t>02-01-28.2</t>
  </si>
  <si>
    <t>1.2.28.1.</t>
  </si>
  <si>
    <t>Система оповещения и управления эвакуацией при пожаре. Доп. работы по проекту 2016г.</t>
  </si>
  <si>
    <t>02-01-28.3</t>
  </si>
  <si>
    <t>1.2.29.1.</t>
  </si>
  <si>
    <t>Система охранной сигнализации</t>
  </si>
  <si>
    <t>02-01-29</t>
  </si>
  <si>
    <t>1.2.30.1.</t>
  </si>
  <si>
    <t>Телефонная связь</t>
  </si>
  <si>
    <t>02-01-30</t>
  </si>
  <si>
    <t>1.2.31.1.</t>
  </si>
  <si>
    <t>Вызывная сигнализация</t>
  </si>
  <si>
    <t>02-01-31</t>
  </si>
  <si>
    <t>1.2.32.1.</t>
  </si>
  <si>
    <t>Автоматическая установка пожаротушения помещений. Г азовое пожаротушение. Доп. работы.</t>
  </si>
  <si>
    <t>02-01-32</t>
  </si>
  <si>
    <t>1.2.33.1.</t>
  </si>
  <si>
    <t>Перенос серверной на время реконструкции</t>
  </si>
  <si>
    <t>02-01-37.1</t>
  </si>
  <si>
    <t>1.2.40.1.</t>
  </si>
  <si>
    <t>Ванна для гидромассажных процедур (Бассейн). Дополнительные работы по проекту 2016г.</t>
  </si>
  <si>
    <t>2.1.1.1.</t>
  </si>
  <si>
    <t>ДЕМОНТАЖ В КОРПУСЕ Б</t>
  </si>
  <si>
    <t>3.1.1.1.</t>
  </si>
  <si>
    <t>Приведение объекта к проектным решениям стадии «Проектная документация» 2016г</t>
  </si>
  <si>
    <t>04-01-01.1</t>
  </si>
  <si>
    <t>4.1.1.1.</t>
  </si>
  <si>
    <t>Внутриплощадочные кабельные сети 0.4кВ. Дополнительные работы по проекту 2016г.</t>
  </si>
  <si>
    <t>05-01-01</t>
  </si>
  <si>
    <t>5.1.1.1.</t>
  </si>
  <si>
    <t>Наружные сети. Переподключение внешних линий связи. Дополнительные работы по проекту 2016г.</t>
  </si>
  <si>
    <t>06-01-01.1</t>
  </si>
  <si>
    <t>6.1.1.1.</t>
  </si>
  <si>
    <t>Наружные сети водоснабжения и водоотведения .Доп. работы по проекту 2016г.</t>
  </si>
  <si>
    <t>06-01-02.1</t>
  </si>
  <si>
    <t>6.2.1.1.</t>
  </si>
  <si>
    <t>Теплловые сети. Дополнительные работы по проекту 2016г.</t>
  </si>
  <si>
    <t>07-01-01.1</t>
  </si>
  <si>
    <t>7.1.1.1.</t>
  </si>
  <si>
    <t>Восстановление благоустройства. Дополнительные работы по проекту 2016г.</t>
  </si>
  <si>
    <t>07-01-02.1</t>
  </si>
  <si>
    <t>7.2.1.1.</t>
  </si>
  <si>
    <t>Наружное электроосвещение. Доп. работы.</t>
  </si>
  <si>
    <t>ГСН 81-05-01.2001 прил. п. 4.2</t>
  </si>
  <si>
    <t>8.1.1.1.</t>
  </si>
  <si>
    <t>Средства на возведение и разборку временных зданий и сооружений (реставрация и реконструкция) 1,8*0,8%=0,96%</t>
  </si>
  <si>
    <t>ГСНр-81-05-02.2001 таб. 2 п. 1.4</t>
  </si>
  <si>
    <t>9.1.1.1.</t>
  </si>
  <si>
    <t>09-01-01</t>
  </si>
  <si>
    <t>9.2.1.1.</t>
  </si>
  <si>
    <t>ПНР. Силовое электрооборудование.</t>
  </si>
  <si>
    <t>09-01-02</t>
  </si>
  <si>
    <t>9.3.1.1.</t>
  </si>
  <si>
    <t>ПНР. Система вентиляции и кондиционирования.</t>
  </si>
  <si>
    <t>09-01-04</t>
  </si>
  <si>
    <t>9.5.1.1.</t>
  </si>
  <si>
    <t>ПНР лифтов.</t>
  </si>
  <si>
    <t>09-01-05</t>
  </si>
  <si>
    <t>9.6.1.1.</t>
  </si>
  <si>
    <t>ПНР. Часофикация.</t>
  </si>
  <si>
    <t>09-01-06</t>
  </si>
  <si>
    <t>9.7.1.1.</t>
  </si>
  <si>
    <t>ПНР. Система радиофикации.</t>
  </si>
  <si>
    <t>09-01-07</t>
  </si>
  <si>
    <t>9.8.1.1.</t>
  </si>
  <si>
    <t>ПНР. Система охранной сигнализации</t>
  </si>
  <si>
    <t>09-01-08</t>
  </si>
  <si>
    <t>9.9.1.1.</t>
  </si>
  <si>
    <t>ПНР. Система охранного телевидения.</t>
  </si>
  <si>
    <t>09-01-09</t>
  </si>
  <si>
    <t>9.10.1.1.</t>
  </si>
  <si>
    <t>ПНР система оповещения и управления эвакуацией</t>
  </si>
  <si>
    <t>09-01-10</t>
  </si>
  <si>
    <t>9.11.1.1.</t>
  </si>
  <si>
    <t>ПНР Телефонная связь.</t>
  </si>
  <si>
    <t>09-01-12</t>
  </si>
  <si>
    <t>9.12.1.1.</t>
  </si>
  <si>
    <t>ПНР. Автоматизация противодымной защиты.</t>
  </si>
  <si>
    <t>09-01-13</t>
  </si>
  <si>
    <t>9.13.1.1.</t>
  </si>
  <si>
    <t>ПНР Автоматизация внутренних инженерных систем.</t>
  </si>
  <si>
    <t>09-01-14</t>
  </si>
  <si>
    <t>9.14.1.1.</t>
  </si>
  <si>
    <t>ПНР Система автоматического водяного пожаротушения.</t>
  </si>
  <si>
    <t>09-01-15</t>
  </si>
  <si>
    <t>9.15.1.1.</t>
  </si>
  <si>
    <t>ПНР Бассейна.</t>
  </si>
  <si>
    <t>10.1.1.1.</t>
  </si>
  <si>
    <t xml:space="preserve">Непредвиденные расходы ( 2% от итога глав 1-12) </t>
  </si>
  <si>
    <t>ЧИСТАЯ ПРИБЫЛЬ</t>
  </si>
  <si>
    <t>SmetaTransform</t>
  </si>
  <si>
    <t>Для преобразования сметы, откройте исходный файл и запустите макрос "transformSmeta"</t>
  </si>
  <si>
    <t>Работа с листом бюджет</t>
  </si>
  <si>
    <t xml:space="preserve">На листе "Список бюджетов" содержится список листов с бюджетами для разных объектов. </t>
  </si>
  <si>
    <t>При необходимости, можно добавить новый лист с бюджетом нового объекта</t>
  </si>
  <si>
    <t xml:space="preserve">И добавить название этого листа в таблицу "список бюджетов": в первой колонке название </t>
  </si>
  <si>
    <t>листа с бюджетом, во второй - название объекта к которому он относится</t>
  </si>
  <si>
    <t>Реконструкция (в режиме реставрации с приспособлением к современному использованию) объекта капитального строительства "Комплекс зданий по адресу: г. Москва, Красная площадь, д.5" для размещения Музейно-выставочного комплекса Музеев Московского Кремля</t>
  </si>
  <si>
    <t>Чистая прибыль</t>
  </si>
  <si>
    <t>Offset</t>
  </si>
  <si>
    <t>Договор</t>
  </si>
  <si>
    <t>№ Статьи</t>
  </si>
  <si>
    <t>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</si>
</sst>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_-* #,##0.00_р_._-;\-* #,##0.00_р_._-;_-* &quot;-&quot;??_р_._-;_-@_-"/>
  </numFmts>
  <fonts count="21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b/>
      <sz val="10"/>
      <color indexed="12"/>
      <name val="Arial"/>
      <family val="2"/>
      <charset val="204"/>
    </font>
    <font>
      <b/>
      <sz val="10"/>
      <color indexed="16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14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14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name val="Arial"/>
      <family val="2"/>
    </font>
    <font>
      <sz val="8"/>
      <name val="Arial"/>
      <family val="2"/>
      <charset val="204"/>
    </font>
    <font>
      <sz val="10"/>
      <name val="Calibri Light"/>
      <family val="2"/>
      <charset val="204"/>
    </font>
    <font>
      <sz val="11"/>
      <name val="Calibri Light"/>
      <family val="2"/>
      <charset val="204"/>
    </font>
    <font>
      <b/>
      <sz val="10"/>
      <name val="Calibri Light"/>
      <family val="2"/>
      <charset val="204"/>
    </font>
    <font>
      <sz val="10"/>
      <color rgb="FF000000"/>
      <name val="Arial"/>
      <family val="2"/>
      <charset val="204"/>
    </font>
    <font>
      <sz val="11"/>
      <color indexed="8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2" fillId="0" borderId="0" applyFont="0" applyFill="0" applyBorder="0" applyAlignment="0" applyProtection="0"/>
    <xf numFmtId="0" fontId="1" fillId="0" borderId="0"/>
    <xf numFmtId="9" fontId="20" fillId="0" borderId="0" applyFont="0" applyFill="0" applyBorder="0" applyAlignment="0" applyProtection="0"/>
    <xf numFmtId="165" fontId="20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3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15" fillId="3" borderId="0" xfId="0" applyFont="1" applyFill="1" applyAlignment="1">
      <alignment vertical="center" wrapText="1"/>
    </xf>
    <xf numFmtId="164" fontId="0" fillId="2" borderId="0" xfId="1" applyNumberFormat="1" applyFont="1" applyFill="1"/>
    <xf numFmtId="164" fontId="0" fillId="3" borderId="0" xfId="1" applyNumberFormat="1" applyFont="1" applyFill="1"/>
    <xf numFmtId="164" fontId="0" fillId="0" borderId="0" xfId="1" applyNumberFormat="1" applyFont="1"/>
    <xf numFmtId="0" fontId="0" fillId="4" borderId="0" xfId="0" applyFill="1"/>
    <xf numFmtId="0" fontId="16" fillId="4" borderId="1" xfId="0" applyFont="1" applyFill="1" applyBorder="1"/>
    <xf numFmtId="0" fontId="16" fillId="4" borderId="0" xfId="0" applyFont="1" applyFill="1" applyBorder="1"/>
    <xf numFmtId="0" fontId="16" fillId="4" borderId="2" xfId="0" applyFont="1" applyFill="1" applyBorder="1"/>
    <xf numFmtId="0" fontId="17" fillId="4" borderId="1" xfId="0" applyFont="1" applyFill="1" applyBorder="1"/>
    <xf numFmtId="0" fontId="17" fillId="4" borderId="0" xfId="0" applyFont="1" applyFill="1" applyBorder="1"/>
    <xf numFmtId="0" fontId="17" fillId="4" borderId="2" xfId="0" applyFont="1" applyFill="1" applyBorder="1"/>
    <xf numFmtId="0" fontId="18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3" xfId="0" applyFont="1" applyFill="1" applyBorder="1"/>
    <xf numFmtId="0" fontId="16" fillId="4" borderId="4" xfId="0" applyFont="1" applyFill="1" applyBorder="1"/>
    <xf numFmtId="0" fontId="16" fillId="4" borderId="5" xfId="0" applyFont="1" applyFill="1" applyBorder="1"/>
    <xf numFmtId="0" fontId="16" fillId="4" borderId="0" xfId="0" applyFont="1" applyFill="1"/>
    <xf numFmtId="0" fontId="17" fillId="4" borderId="3" xfId="0" applyFont="1" applyFill="1" applyBorder="1"/>
    <xf numFmtId="0" fontId="17" fillId="4" borderId="4" xfId="0" applyFont="1" applyFill="1" applyBorder="1"/>
    <xf numFmtId="0" fontId="17" fillId="4" borderId="5" xfId="0" applyFont="1" applyFill="1" applyBorder="1"/>
    <xf numFmtId="0" fontId="0" fillId="0" borderId="0" xfId="0" applyBorder="1"/>
    <xf numFmtId="0" fontId="14" fillId="0" borderId="9" xfId="2" applyFont="1" applyBorder="1"/>
    <xf numFmtId="0" fontId="14" fillId="0" borderId="11" xfId="2" applyFont="1" applyBorder="1"/>
    <xf numFmtId="10" fontId="1" fillId="0" borderId="12" xfId="2" applyNumberFormat="1" applyBorder="1"/>
    <xf numFmtId="10" fontId="0" fillId="0" borderId="0" xfId="0" applyNumberFormat="1" applyBorder="1"/>
    <xf numFmtId="0" fontId="14" fillId="0" borderId="13" xfId="2" applyFont="1" applyBorder="1"/>
    <xf numFmtId="0" fontId="1" fillId="0" borderId="0" xfId="2" applyBorder="1"/>
    <xf numFmtId="0" fontId="1" fillId="0" borderId="0" xfId="2"/>
    <xf numFmtId="10" fontId="1" fillId="0" borderId="14" xfId="2" applyNumberFormat="1" applyBorder="1"/>
    <xf numFmtId="10" fontId="11" fillId="0" borderId="0" xfId="0" applyNumberFormat="1" applyFont="1" applyBorder="1"/>
    <xf numFmtId="10" fontId="11" fillId="0" borderId="0" xfId="0" applyNumberFormat="1" applyFont="1" applyFill="1" applyBorder="1"/>
    <xf numFmtId="10" fontId="1" fillId="0" borderId="10" xfId="2" applyNumberFormat="1" applyBorder="1"/>
    <xf numFmtId="0" fontId="0" fillId="0" borderId="11" xfId="0" applyBorder="1"/>
    <xf numFmtId="0" fontId="0" fillId="0" borderId="12" xfId="0" applyBorder="1"/>
  </cellXfs>
  <cellStyles count="5">
    <cellStyle name="Обычный" xfId="0" builtinId="0"/>
    <cellStyle name="Обычный 2" xfId="2"/>
    <cellStyle name="Процентный" xfId="1" builtinId="5"/>
    <cellStyle name="Процентный 2" xfId="3"/>
    <cellStyle name="Финансовый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161925</xdr:rowOff>
        </xdr:from>
        <xdr:to>
          <xdr:col>9</xdr:col>
          <xdr:colOff>590550</xdr:colOff>
          <xdr:row>9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 исходник и преобразовать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6</xdr:row>
          <xdr:rowOff>161925</xdr:rowOff>
        </xdr:from>
        <xdr:to>
          <xdr:col>5</xdr:col>
          <xdr:colOff>219075</xdr:colOff>
          <xdr:row>9</xdr:row>
          <xdr:rowOff>76200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 исходник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0;&#1086;&#1084;&#1057;&#108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мСм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1"/>
  <dimension ref="B2:J25"/>
  <sheetViews>
    <sheetView tabSelected="1" topLeftCell="A4" workbookViewId="0">
      <selection activeCell="P20" sqref="P20"/>
    </sheetView>
  </sheetViews>
  <sheetFormatPr defaultRowHeight="12.75" x14ac:dyDescent="0.2"/>
  <cols>
    <col min="1" max="9" width="9.140625" style="23"/>
    <col min="10" max="10" width="14" style="23" customWidth="1"/>
    <col min="11" max="16384" width="9.140625" style="23"/>
  </cols>
  <sheetData>
    <row r="2" spans="2:10" x14ac:dyDescent="0.2">
      <c r="B2" s="30" t="s">
        <v>366</v>
      </c>
      <c r="C2" s="31"/>
      <c r="D2" s="31"/>
      <c r="E2" s="31"/>
      <c r="F2" s="31"/>
      <c r="G2" s="31"/>
      <c r="H2" s="31"/>
      <c r="I2" s="31"/>
      <c r="J2" s="32"/>
    </row>
    <row r="3" spans="2:10" x14ac:dyDescent="0.2">
      <c r="B3" s="24"/>
      <c r="C3" s="25"/>
      <c r="D3" s="25"/>
      <c r="E3" s="25"/>
      <c r="F3" s="25"/>
      <c r="G3" s="25"/>
      <c r="H3" s="25"/>
      <c r="I3" s="25"/>
      <c r="J3" s="26"/>
    </row>
    <row r="4" spans="2:10" ht="15" x14ac:dyDescent="0.25">
      <c r="B4" s="27" t="s">
        <v>367</v>
      </c>
      <c r="C4" s="28"/>
      <c r="D4" s="28"/>
      <c r="E4" s="28"/>
      <c r="F4" s="28"/>
      <c r="G4" s="28"/>
      <c r="H4" s="28"/>
      <c r="I4" s="28"/>
      <c r="J4" s="29"/>
    </row>
    <row r="5" spans="2:10" ht="15" x14ac:dyDescent="0.25">
      <c r="B5" s="27"/>
      <c r="C5" s="28"/>
      <c r="D5" s="28"/>
      <c r="E5" s="28"/>
      <c r="F5" s="28"/>
      <c r="G5" s="28"/>
      <c r="H5" s="28"/>
      <c r="I5" s="28"/>
      <c r="J5" s="29"/>
    </row>
    <row r="6" spans="2:10" ht="15" x14ac:dyDescent="0.25">
      <c r="B6" s="27"/>
      <c r="C6" s="28"/>
      <c r="D6" s="28"/>
      <c r="E6" s="28"/>
      <c r="F6" s="28"/>
      <c r="G6" s="28"/>
      <c r="H6" s="28"/>
      <c r="I6" s="28"/>
      <c r="J6" s="29"/>
    </row>
    <row r="7" spans="2:10" ht="15" x14ac:dyDescent="0.25">
      <c r="B7" s="27"/>
      <c r="C7" s="28"/>
      <c r="D7" s="28"/>
      <c r="E7" s="28"/>
      <c r="F7" s="28"/>
      <c r="G7" s="28"/>
      <c r="H7" s="28"/>
      <c r="I7" s="28"/>
      <c r="J7" s="29"/>
    </row>
    <row r="8" spans="2:10" ht="15" x14ac:dyDescent="0.25">
      <c r="B8" s="27"/>
      <c r="C8" s="28"/>
      <c r="D8" s="28"/>
      <c r="E8" s="28"/>
      <c r="F8" s="28"/>
      <c r="G8" s="28"/>
      <c r="H8" s="28"/>
      <c r="I8" s="28"/>
      <c r="J8" s="29"/>
    </row>
    <row r="9" spans="2:10" x14ac:dyDescent="0.2">
      <c r="B9" s="24"/>
      <c r="C9" s="25"/>
      <c r="D9" s="25"/>
      <c r="E9" s="25"/>
      <c r="F9" s="25"/>
      <c r="G9" s="25"/>
      <c r="H9" s="25"/>
      <c r="I9" s="25"/>
      <c r="J9" s="26"/>
    </row>
    <row r="10" spans="2:10" x14ac:dyDescent="0.2">
      <c r="B10" s="24"/>
      <c r="C10" s="25"/>
      <c r="D10" s="25"/>
      <c r="E10" s="25"/>
      <c r="F10" s="25"/>
      <c r="G10" s="25"/>
      <c r="H10" s="25"/>
      <c r="I10" s="25"/>
      <c r="J10" s="26"/>
    </row>
    <row r="11" spans="2:10" x14ac:dyDescent="0.2">
      <c r="B11" s="33"/>
      <c r="C11" s="34"/>
      <c r="D11" s="34"/>
      <c r="E11" s="34"/>
      <c r="F11" s="34"/>
      <c r="G11" s="34"/>
      <c r="H11" s="34"/>
      <c r="I11" s="34"/>
      <c r="J11" s="35"/>
    </row>
    <row r="12" spans="2:10" x14ac:dyDescent="0.2">
      <c r="B12" s="36"/>
      <c r="C12" s="36"/>
      <c r="D12" s="36"/>
      <c r="E12" s="36"/>
      <c r="F12" s="36"/>
      <c r="G12" s="36"/>
      <c r="H12" s="36"/>
      <c r="I12" s="36"/>
      <c r="J12" s="36"/>
    </row>
    <row r="13" spans="2:10" x14ac:dyDescent="0.2">
      <c r="B13" s="30" t="s">
        <v>368</v>
      </c>
      <c r="C13" s="31"/>
      <c r="D13" s="31"/>
      <c r="E13" s="31"/>
      <c r="F13" s="31"/>
      <c r="G13" s="31"/>
      <c r="H13" s="31"/>
      <c r="I13" s="31"/>
      <c r="J13" s="32"/>
    </row>
    <row r="14" spans="2:10" ht="15" x14ac:dyDescent="0.25">
      <c r="B14" s="27"/>
      <c r="C14" s="28"/>
      <c r="D14" s="28"/>
      <c r="E14" s="28"/>
      <c r="F14" s="28"/>
      <c r="G14" s="28"/>
      <c r="H14" s="28"/>
      <c r="I14" s="28"/>
      <c r="J14" s="29"/>
    </row>
    <row r="15" spans="2:10" ht="15" x14ac:dyDescent="0.25">
      <c r="B15" s="27" t="s">
        <v>369</v>
      </c>
      <c r="C15" s="28"/>
      <c r="D15" s="28"/>
      <c r="E15" s="28"/>
      <c r="F15" s="28"/>
      <c r="G15" s="28"/>
      <c r="H15" s="28"/>
      <c r="I15" s="28"/>
      <c r="J15" s="29"/>
    </row>
    <row r="16" spans="2:10" ht="15" x14ac:dyDescent="0.25">
      <c r="B16" s="27" t="s">
        <v>370</v>
      </c>
      <c r="C16" s="28"/>
      <c r="D16" s="28"/>
      <c r="E16" s="28"/>
      <c r="F16" s="28"/>
      <c r="G16" s="28"/>
      <c r="H16" s="28"/>
      <c r="I16" s="28"/>
      <c r="J16" s="29"/>
    </row>
    <row r="17" spans="2:10" ht="15" x14ac:dyDescent="0.25">
      <c r="B17" s="27" t="s">
        <v>371</v>
      </c>
      <c r="C17" s="28"/>
      <c r="D17" s="28"/>
      <c r="E17" s="28"/>
      <c r="F17" s="28"/>
      <c r="G17" s="28"/>
      <c r="H17" s="28"/>
      <c r="I17" s="28"/>
      <c r="J17" s="29"/>
    </row>
    <row r="18" spans="2:10" ht="15" x14ac:dyDescent="0.25">
      <c r="B18" s="27" t="s">
        <v>372</v>
      </c>
      <c r="C18" s="28"/>
      <c r="D18" s="28"/>
      <c r="E18" s="28"/>
      <c r="F18" s="28"/>
      <c r="G18" s="28"/>
      <c r="H18" s="28"/>
      <c r="I18" s="28"/>
      <c r="J18" s="29"/>
    </row>
    <row r="19" spans="2:10" ht="15" x14ac:dyDescent="0.25">
      <c r="B19" s="27"/>
      <c r="C19" s="28"/>
      <c r="D19" s="28"/>
      <c r="E19" s="28"/>
      <c r="F19" s="28"/>
      <c r="G19" s="28"/>
      <c r="H19" s="28"/>
      <c r="I19" s="28"/>
      <c r="J19" s="29"/>
    </row>
    <row r="20" spans="2:10" ht="15" x14ac:dyDescent="0.25">
      <c r="B20" s="27"/>
      <c r="C20" s="28"/>
      <c r="D20" s="28"/>
      <c r="E20" s="28"/>
      <c r="F20" s="28"/>
      <c r="G20" s="28"/>
      <c r="H20" s="28"/>
      <c r="I20" s="28"/>
      <c r="J20" s="29"/>
    </row>
    <row r="21" spans="2:10" ht="15" x14ac:dyDescent="0.25">
      <c r="B21" s="27"/>
      <c r="C21" s="28"/>
      <c r="D21" s="28"/>
      <c r="E21" s="28"/>
      <c r="F21" s="28"/>
      <c r="G21" s="28"/>
      <c r="H21" s="28"/>
      <c r="I21" s="28"/>
      <c r="J21" s="29"/>
    </row>
    <row r="22" spans="2:10" ht="15" x14ac:dyDescent="0.25">
      <c r="B22" s="27"/>
      <c r="C22" s="28"/>
      <c r="D22" s="28"/>
      <c r="E22" s="28"/>
      <c r="F22" s="28"/>
      <c r="G22" s="28"/>
      <c r="H22" s="28"/>
      <c r="I22" s="28"/>
      <c r="J22" s="29"/>
    </row>
    <row r="23" spans="2:10" ht="15" x14ac:dyDescent="0.25">
      <c r="B23" s="27"/>
      <c r="C23" s="28"/>
      <c r="D23" s="28"/>
      <c r="E23" s="28"/>
      <c r="F23" s="28"/>
      <c r="G23" s="28"/>
      <c r="H23" s="28"/>
      <c r="I23" s="28"/>
      <c r="J23" s="29"/>
    </row>
    <row r="24" spans="2:10" ht="15" x14ac:dyDescent="0.25">
      <c r="B24" s="37"/>
      <c r="C24" s="38"/>
      <c r="D24" s="38"/>
      <c r="E24" s="38"/>
      <c r="F24" s="38"/>
      <c r="G24" s="38"/>
      <c r="H24" s="38"/>
      <c r="I24" s="38"/>
      <c r="J24" s="39"/>
    </row>
    <row r="25" spans="2:10" x14ac:dyDescent="0.2">
      <c r="B25" s="36"/>
      <c r="C25" s="36"/>
      <c r="D25" s="36"/>
      <c r="E25" s="36"/>
      <c r="F25" s="36"/>
      <c r="G25" s="36"/>
      <c r="H25" s="36"/>
      <c r="I25" s="36"/>
      <c r="J25" s="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penSmetaAndTransform_click">
                <anchor moveWithCells="1" sizeWithCells="1">
                  <from>
                    <xdr:col>6</xdr:col>
                    <xdr:colOff>95250</xdr:colOff>
                    <xdr:row>6</xdr:row>
                    <xdr:rowOff>161925</xdr:rowOff>
                  </from>
                  <to>
                    <xdr:col>9</xdr:col>
                    <xdr:colOff>590550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openSmeta_click">
                <anchor moveWithCells="1" sizeWithCells="1">
                  <from>
                    <xdr:col>1</xdr:col>
                    <xdr:colOff>333375</xdr:colOff>
                    <xdr:row>6</xdr:row>
                    <xdr:rowOff>161925</xdr:rowOff>
                  </from>
                  <to>
                    <xdr:col>5</xdr:col>
                    <xdr:colOff>219075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4"/>
  <sheetViews>
    <sheetView workbookViewId="0">
      <selection activeCell="H23" sqref="H23"/>
    </sheetView>
  </sheetViews>
  <sheetFormatPr defaultRowHeight="12.75" x14ac:dyDescent="0.2"/>
  <sheetData>
    <row r="1" spans="1:2" x14ac:dyDescent="0.2">
      <c r="A1" s="11" t="s">
        <v>148</v>
      </c>
      <c r="B1" s="11" t="s">
        <v>149</v>
      </c>
    </row>
    <row r="2" spans="1:2" x14ac:dyDescent="0.2">
      <c r="A2" s="10" t="s">
        <v>145</v>
      </c>
      <c r="B2" t="s">
        <v>147</v>
      </c>
    </row>
    <row r="3" spans="1:2" x14ac:dyDescent="0.2">
      <c r="A3" s="10" t="s">
        <v>146</v>
      </c>
      <c r="B3" s="10" t="s">
        <v>4</v>
      </c>
    </row>
    <row r="4" spans="1:2" x14ac:dyDescent="0.2">
      <c r="A4" s="10" t="s">
        <v>146</v>
      </c>
      <c r="B4" s="10" t="s">
        <v>373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G11" sqref="G11"/>
    </sheetView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Q88"/>
  <sheetViews>
    <sheetView zoomScale="70" zoomScaleNormal="70" workbookViewId="0">
      <selection activeCell="A3" sqref="A3:B3"/>
    </sheetView>
  </sheetViews>
  <sheetFormatPr defaultColWidth="8.85546875" defaultRowHeight="12.75" outlineLevelRow="1" x14ac:dyDescent="0.2"/>
  <cols>
    <col min="1" max="1" width="23.28515625" customWidth="1"/>
    <col min="2" max="2" width="10.28515625" bestFit="1" customWidth="1"/>
    <col min="3" max="3" width="47.42578125" customWidth="1"/>
    <col min="4" max="4" width="14.7109375" customWidth="1"/>
    <col min="5" max="7" width="14.28515625" customWidth="1"/>
    <col min="8" max="9" width="13.140625" customWidth="1"/>
    <col min="10" max="10" width="11.28515625" customWidth="1"/>
    <col min="11" max="11" width="10.140625" bestFit="1" customWidth="1"/>
    <col min="12" max="18" width="13.140625" bestFit="1" customWidth="1"/>
    <col min="19" max="19" width="11.28515625" bestFit="1" customWidth="1"/>
    <col min="20" max="20" width="13.140625" bestFit="1" customWidth="1"/>
    <col min="21" max="21" width="11.28515625" bestFit="1" customWidth="1"/>
    <col min="22" max="24" width="13.140625" bestFit="1" customWidth="1"/>
    <col min="26" max="26" width="14.28515625" bestFit="1" customWidth="1"/>
    <col min="27" max="28" width="13.140625" bestFit="1" customWidth="1"/>
    <col min="29" max="29" width="26.42578125" bestFit="1" customWidth="1"/>
    <col min="30" max="31" width="11.140625" bestFit="1" customWidth="1"/>
    <col min="32" max="32" width="16.42578125" bestFit="1" customWidth="1"/>
    <col min="33" max="34" width="11.140625" bestFit="1" customWidth="1"/>
    <col min="35" max="35" width="9.7109375" bestFit="1" customWidth="1"/>
    <col min="36" max="37" width="11.140625" bestFit="1" customWidth="1"/>
    <col min="39" max="39" width="11.140625" bestFit="1" customWidth="1"/>
    <col min="41" max="47" width="9.28515625" bestFit="1" customWidth="1"/>
  </cols>
  <sheetData>
    <row r="1" spans="1:17" ht="15" x14ac:dyDescent="0.25">
      <c r="A1" s="41" t="s">
        <v>150</v>
      </c>
      <c r="B1" s="51" t="e">
        <f>INDEX($B$10:$R$2000,MATCH($F$2,$B$10:$B$2000,0),MATCH(A1,$B$11:$Q$11,0)+$D$2)</f>
        <v>#REF!</v>
      </c>
      <c r="C1" s="44"/>
      <c r="D1" s="47" t="s">
        <v>375</v>
      </c>
      <c r="E1" s="47" t="s">
        <v>376</v>
      </c>
      <c r="F1" s="47" t="s">
        <v>377</v>
      </c>
      <c r="G1" s="47" t="s">
        <v>378</v>
      </c>
    </row>
    <row r="2" spans="1:17" ht="15" x14ac:dyDescent="0.25">
      <c r="A2" s="42" t="s">
        <v>63</v>
      </c>
      <c r="B2" s="43">
        <v>0.03</v>
      </c>
      <c r="C2" s="44"/>
      <c r="D2" s="47" t="e">
        <f>MATCH($E$2,$D$10:Q10,0)-1</f>
        <v>#REF!</v>
      </c>
      <c r="E2" s="47" t="e">
        <f>[1]КомСм!H2</f>
        <v>#REF!</v>
      </c>
      <c r="F2" s="47" t="e">
        <f>[1]КомСм!K3</f>
        <v>#REF!</v>
      </c>
      <c r="G2" s="47" t="e">
        <f>INDEX($B$10:$C$85,MATCH(F2,$B$10:$B$85,0),2)</f>
        <v>#REF!</v>
      </c>
    </row>
    <row r="3" spans="1:17" ht="15" x14ac:dyDescent="0.25">
      <c r="A3" s="42" t="s">
        <v>151</v>
      </c>
      <c r="B3" s="43" t="e">
        <f>INDEX($B$10:$R$2000,MATCH($F$2,$B$10:$B$2000,0),MATCH(A3,$B$11:$Q$11,0)+$D$2)</f>
        <v>#REF!</v>
      </c>
      <c r="C3" s="44"/>
      <c r="D3" s="40"/>
    </row>
    <row r="4" spans="1:17" ht="15" x14ac:dyDescent="0.25">
      <c r="A4" s="42" t="s">
        <v>155</v>
      </c>
      <c r="B4" s="43" t="e">
        <f>INDEX($B$10:$R$2000,MATCH($F$2,$B$10:$B$2000,0),MATCH(A4,$B$11:$Q$11,0)+$D$2)</f>
        <v>#REF!</v>
      </c>
      <c r="C4" s="44"/>
      <c r="D4" s="40"/>
    </row>
    <row r="5" spans="1:17" ht="15" x14ac:dyDescent="0.25">
      <c r="A5" s="42" t="s">
        <v>157</v>
      </c>
      <c r="B5" s="43" t="e">
        <f>INDEX($B$10:$R$2000,MATCH($F$2,$B$10:$B$2000,0),MATCH(A5,$B$11:$Q$11,0)+$D$2)</f>
        <v>#REF!</v>
      </c>
      <c r="C5" s="44"/>
      <c r="D5" s="40"/>
    </row>
    <row r="6" spans="1:17" ht="15" x14ac:dyDescent="0.25">
      <c r="A6" s="42" t="s">
        <v>374</v>
      </c>
      <c r="B6" s="43" t="e">
        <f>INDEX($B$10:$R$2000,MATCH($F$2,$B$10:$B$2000,0),MATCH(A6,$B$11:$Q$11,0)+$D$2)</f>
        <v>#REF!</v>
      </c>
      <c r="C6" s="40"/>
      <c r="D6" s="40"/>
    </row>
    <row r="7" spans="1:17" x14ac:dyDescent="0.2">
      <c r="A7" s="52"/>
      <c r="B7" s="53"/>
    </row>
    <row r="8" spans="1:17" ht="15" x14ac:dyDescent="0.25">
      <c r="A8" s="42"/>
      <c r="B8" s="43"/>
    </row>
    <row r="9" spans="1:17" ht="15.75" outlineLevel="1" thickBot="1" x14ac:dyDescent="0.3">
      <c r="A9" s="45"/>
      <c r="B9" s="48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ht="15" outlineLevel="1" x14ac:dyDescent="0.25">
      <c r="A10" s="46"/>
      <c r="B10" s="46"/>
      <c r="D10" s="13" t="s">
        <v>152</v>
      </c>
      <c r="E10" s="13"/>
      <c r="F10" s="13"/>
      <c r="G10" s="13"/>
      <c r="H10" s="13"/>
      <c r="I10" s="13"/>
      <c r="J10" s="13"/>
      <c r="K10" s="14" t="s">
        <v>153</v>
      </c>
      <c r="L10" s="14"/>
      <c r="M10" s="14"/>
      <c r="N10" s="14"/>
      <c r="O10" s="14"/>
      <c r="P10" s="14"/>
      <c r="Q10" s="14"/>
    </row>
    <row r="11" spans="1:17" s="15" customFormat="1" ht="38.25" outlineLevel="1" x14ac:dyDescent="0.2">
      <c r="D11" s="16" t="s">
        <v>154</v>
      </c>
      <c r="E11" s="16" t="s">
        <v>150</v>
      </c>
      <c r="F11" s="16" t="s">
        <v>151</v>
      </c>
      <c r="G11" s="16" t="s">
        <v>155</v>
      </c>
      <c r="H11" s="16" t="s">
        <v>156</v>
      </c>
      <c r="I11" s="16" t="s">
        <v>157</v>
      </c>
      <c r="J11" s="17" t="s">
        <v>365</v>
      </c>
      <c r="K11" s="18" t="s">
        <v>154</v>
      </c>
      <c r="L11" s="18" t="s">
        <v>150</v>
      </c>
      <c r="M11" s="18" t="s">
        <v>151</v>
      </c>
      <c r="N11" s="18" t="s">
        <v>155</v>
      </c>
      <c r="O11" s="18" t="s">
        <v>156</v>
      </c>
      <c r="P11" s="18" t="s">
        <v>157</v>
      </c>
      <c r="Q11" s="19" t="s">
        <v>365</v>
      </c>
    </row>
    <row r="12" spans="1:17" outlineLevel="1" x14ac:dyDescent="0.2">
      <c r="A12" t="s">
        <v>158</v>
      </c>
      <c r="B12" t="s">
        <v>159</v>
      </c>
      <c r="C12" t="s">
        <v>160</v>
      </c>
      <c r="D12" s="20">
        <v>0.18753064925263543</v>
      </c>
      <c r="E12" s="20">
        <v>5.2575023063972305E-2</v>
      </c>
      <c r="F12" s="20">
        <v>4.9999999988103054E-2</v>
      </c>
      <c r="G12" s="20"/>
      <c r="H12" s="20"/>
      <c r="I12" s="20">
        <v>1.6991125240112009E-2</v>
      </c>
      <c r="J12" s="20">
        <v>6.7964500960448065E-2</v>
      </c>
      <c r="K12" s="21">
        <v>0.18753064925263546</v>
      </c>
      <c r="L12" s="21">
        <v>5.2575023063972305E-2</v>
      </c>
      <c r="M12" s="21"/>
      <c r="N12" s="21"/>
      <c r="O12" s="21"/>
      <c r="P12" s="21">
        <v>2.6991125237732616E-2</v>
      </c>
      <c r="Q12" s="21">
        <v>0.10796450095093055</v>
      </c>
    </row>
    <row r="13" spans="1:17" outlineLevel="1" x14ac:dyDescent="0.2">
      <c r="B13" t="s">
        <v>161</v>
      </c>
      <c r="C13" t="s">
        <v>162</v>
      </c>
      <c r="D13" s="20">
        <v>0.18753064925263546</v>
      </c>
      <c r="E13" s="20">
        <v>5.2575023063972312E-2</v>
      </c>
      <c r="F13" s="20">
        <v>4.9999999988103054E-2</v>
      </c>
      <c r="G13" s="20"/>
      <c r="H13" s="20"/>
      <c r="I13" s="20">
        <v>1.6991125240112013E-2</v>
      </c>
      <c r="J13" s="20">
        <v>6.7964500960448079E-2</v>
      </c>
      <c r="K13" s="21">
        <v>0.18753064925263546</v>
      </c>
      <c r="L13" s="21">
        <v>5.2575023063972312E-2</v>
      </c>
      <c r="M13" s="21"/>
      <c r="N13" s="21"/>
      <c r="O13" s="21"/>
      <c r="P13" s="21">
        <v>2.699112523773262E-2</v>
      </c>
      <c r="Q13" s="21">
        <v>0.10796450095093053</v>
      </c>
    </row>
    <row r="14" spans="1:17" outlineLevel="1" x14ac:dyDescent="0.2">
      <c r="A14" t="s">
        <v>163</v>
      </c>
      <c r="B14" t="s">
        <v>164</v>
      </c>
      <c r="C14" t="s">
        <v>165</v>
      </c>
      <c r="D14" s="20">
        <v>0.18753064925263541</v>
      </c>
      <c r="E14" s="20">
        <v>5.2575023063972305E-2</v>
      </c>
      <c r="F14" s="20">
        <v>4.9999999988103054E-2</v>
      </c>
      <c r="G14" s="20"/>
      <c r="H14" s="20"/>
      <c r="I14" s="20">
        <v>1.6991125240112006E-2</v>
      </c>
      <c r="J14" s="20">
        <v>6.7964500960448038E-2</v>
      </c>
      <c r="K14" s="21">
        <v>0.18753064925263546</v>
      </c>
      <c r="L14" s="21">
        <v>5.2575023063972312E-2</v>
      </c>
      <c r="M14" s="21"/>
      <c r="N14" s="21"/>
      <c r="O14" s="21"/>
      <c r="P14" s="21">
        <v>2.699112523773262E-2</v>
      </c>
      <c r="Q14" s="21">
        <v>0.10796450095093052</v>
      </c>
    </row>
    <row r="15" spans="1:17" outlineLevel="1" x14ac:dyDescent="0.2">
      <c r="A15" t="s">
        <v>166</v>
      </c>
      <c r="B15" t="s">
        <v>167</v>
      </c>
      <c r="C15" t="s">
        <v>168</v>
      </c>
      <c r="D15" s="20">
        <v>0.27753064925263543</v>
      </c>
      <c r="E15" s="20">
        <v>5.2575023063972312E-2</v>
      </c>
      <c r="F15" s="20">
        <v>4.9999999988103054E-2</v>
      </c>
      <c r="G15" s="20"/>
      <c r="H15" s="20"/>
      <c r="I15" s="20">
        <v>3.4991125240111998E-2</v>
      </c>
      <c r="J15" s="20">
        <v>0.13996450096044807</v>
      </c>
      <c r="K15" s="21">
        <v>0.27753064925263543</v>
      </c>
      <c r="L15" s="21">
        <v>5.2575023063972312E-2</v>
      </c>
      <c r="M15" s="21"/>
      <c r="N15" s="21"/>
      <c r="O15" s="21"/>
      <c r="P15" s="21">
        <v>4.4991125237732604E-2</v>
      </c>
      <c r="Q15" s="21">
        <v>0.17996450095093053</v>
      </c>
    </row>
    <row r="16" spans="1:17" outlineLevel="1" x14ac:dyDescent="0.2">
      <c r="B16" t="s">
        <v>169</v>
      </c>
      <c r="C16" t="s">
        <v>162</v>
      </c>
      <c r="D16" s="20">
        <v>0.27753064925263543</v>
      </c>
      <c r="E16" s="20">
        <v>5.2575023063972312E-2</v>
      </c>
      <c r="F16" s="20">
        <v>4.9999999988103054E-2</v>
      </c>
      <c r="G16" s="20"/>
      <c r="H16" s="20"/>
      <c r="I16" s="20">
        <v>3.4991125240111998E-2</v>
      </c>
      <c r="J16" s="20">
        <v>0.13996450096044805</v>
      </c>
      <c r="K16" s="21">
        <v>0.27753064925263554</v>
      </c>
      <c r="L16" s="21">
        <v>5.2575023063972319E-2</v>
      </c>
      <c r="M16" s="21"/>
      <c r="N16" s="21"/>
      <c r="O16" s="21"/>
      <c r="P16" s="21">
        <v>4.4991125237732632E-2</v>
      </c>
      <c r="Q16" s="21">
        <v>0.17996450095093061</v>
      </c>
    </row>
    <row r="17" spans="1:17" outlineLevel="1" x14ac:dyDescent="0.2">
      <c r="A17" t="s">
        <v>170</v>
      </c>
      <c r="B17" t="s">
        <v>171</v>
      </c>
      <c r="C17" t="s">
        <v>172</v>
      </c>
      <c r="D17" s="20">
        <v>0.27753064925263549</v>
      </c>
      <c r="E17" s="20">
        <v>5.2575023063972312E-2</v>
      </c>
      <c r="F17" s="20">
        <v>4.9999999988103054E-2</v>
      </c>
      <c r="G17" s="20"/>
      <c r="H17" s="20"/>
      <c r="I17" s="20">
        <v>3.4991125240111998E-2</v>
      </c>
      <c r="J17" s="20">
        <v>0.13996450096044807</v>
      </c>
      <c r="K17" s="21">
        <v>0.27753064925263554</v>
      </c>
      <c r="L17" s="21">
        <v>5.2575023063972305E-2</v>
      </c>
      <c r="M17" s="21"/>
      <c r="N17" s="21"/>
      <c r="O17" s="21"/>
      <c r="P17" s="21">
        <v>4.4991125237732632E-2</v>
      </c>
      <c r="Q17" s="21">
        <v>0.17996450095093058</v>
      </c>
    </row>
    <row r="18" spans="1:17" outlineLevel="1" x14ac:dyDescent="0.2">
      <c r="B18" t="s">
        <v>173</v>
      </c>
      <c r="C18" t="s">
        <v>162</v>
      </c>
      <c r="D18" s="20">
        <v>0.27753064925263554</v>
      </c>
      <c r="E18" s="20">
        <v>5.2575023063972312E-2</v>
      </c>
      <c r="F18" s="20">
        <v>4.9999999988103054E-2</v>
      </c>
      <c r="G18" s="20"/>
      <c r="H18" s="20"/>
      <c r="I18" s="20">
        <v>3.4991125240112018E-2</v>
      </c>
      <c r="J18" s="20">
        <v>0.13996450096044816</v>
      </c>
      <c r="K18" s="21">
        <v>0.27753064925263549</v>
      </c>
      <c r="L18" s="21">
        <v>5.2575023063972312E-2</v>
      </c>
      <c r="M18" s="21"/>
      <c r="N18" s="21"/>
      <c r="O18" s="21"/>
      <c r="P18" s="21">
        <v>4.4991125237732618E-2</v>
      </c>
      <c r="Q18" s="21">
        <v>0.17996450095093058</v>
      </c>
    </row>
    <row r="19" spans="1:17" outlineLevel="1" x14ac:dyDescent="0.2">
      <c r="A19" t="s">
        <v>174</v>
      </c>
      <c r="B19" t="s">
        <v>175</v>
      </c>
      <c r="C19" t="s">
        <v>176</v>
      </c>
      <c r="D19" s="20">
        <v>-0.29674711048039942</v>
      </c>
      <c r="E19" s="20">
        <v>5.2575023063972312E-2</v>
      </c>
      <c r="F19" s="20">
        <v>4.9999999988103054E-2</v>
      </c>
      <c r="G19" s="20"/>
      <c r="H19" s="20"/>
      <c r="I19" s="20">
        <v>-7.986442670649492E-2</v>
      </c>
      <c r="J19" s="20">
        <v>-0.31945770682597985</v>
      </c>
      <c r="K19" s="21">
        <v>0.27753064925263549</v>
      </c>
      <c r="L19" s="21">
        <v>5.2575023063972312E-2</v>
      </c>
      <c r="M19" s="21"/>
      <c r="N19" s="21"/>
      <c r="O19" s="21"/>
      <c r="P19" s="21">
        <v>4.4991125237732618E-2</v>
      </c>
      <c r="Q19" s="21">
        <v>0.17996450095093056</v>
      </c>
    </row>
    <row r="20" spans="1:17" outlineLevel="1" x14ac:dyDescent="0.2">
      <c r="A20" t="s">
        <v>177</v>
      </c>
      <c r="B20" t="s">
        <v>178</v>
      </c>
      <c r="C20" t="s">
        <v>176</v>
      </c>
      <c r="D20" s="20">
        <v>-0.50414684459403647</v>
      </c>
      <c r="E20" s="20">
        <v>5.2575023063972319E-2</v>
      </c>
      <c r="F20" s="20">
        <v>4.9999999988103054E-2</v>
      </c>
      <c r="G20" s="20"/>
      <c r="H20" s="20"/>
      <c r="I20" s="20">
        <v>-0.12134437352922232</v>
      </c>
      <c r="J20" s="20">
        <v>-0.48537749411688952</v>
      </c>
      <c r="K20" s="21">
        <v>0.27753064925263543</v>
      </c>
      <c r="L20" s="21">
        <v>5.2575023063972312E-2</v>
      </c>
      <c r="M20" s="21"/>
      <c r="N20" s="21"/>
      <c r="O20" s="21"/>
      <c r="P20" s="21">
        <v>4.4991125237732618E-2</v>
      </c>
      <c r="Q20" s="21">
        <v>0.17996450095093056</v>
      </c>
    </row>
    <row r="21" spans="1:17" outlineLevel="1" x14ac:dyDescent="0.2">
      <c r="B21" t="s">
        <v>179</v>
      </c>
      <c r="C21" t="s">
        <v>162</v>
      </c>
      <c r="D21" s="20">
        <v>0.27753064925263549</v>
      </c>
      <c r="E21" s="20">
        <v>5.2575023063972312E-2</v>
      </c>
      <c r="F21" s="20">
        <v>4.9999999988103054E-2</v>
      </c>
      <c r="G21" s="20"/>
      <c r="H21" s="20"/>
      <c r="I21" s="20">
        <v>3.4991125240112012E-2</v>
      </c>
      <c r="J21" s="20">
        <v>0.13996450096044807</v>
      </c>
      <c r="K21" s="21">
        <v>0.27753064925263549</v>
      </c>
      <c r="L21" s="21">
        <v>5.2575023063972312E-2</v>
      </c>
      <c r="M21" s="21"/>
      <c r="N21" s="21"/>
      <c r="O21" s="21"/>
      <c r="P21" s="21">
        <v>4.4991125237732611E-2</v>
      </c>
      <c r="Q21" s="21">
        <v>0.17996450095093056</v>
      </c>
    </row>
    <row r="22" spans="1:17" outlineLevel="1" x14ac:dyDescent="0.2">
      <c r="A22" t="s">
        <v>180</v>
      </c>
      <c r="B22" t="s">
        <v>181</v>
      </c>
      <c r="C22" t="s">
        <v>182</v>
      </c>
      <c r="D22" s="20">
        <v>0.18753064925263546</v>
      </c>
      <c r="E22" s="20">
        <v>5.2575023063972312E-2</v>
      </c>
      <c r="F22" s="20">
        <v>4.9999999988103047E-2</v>
      </c>
      <c r="G22" s="20"/>
      <c r="H22" s="20"/>
      <c r="I22" s="20">
        <v>1.6991125240112013E-2</v>
      </c>
      <c r="J22" s="20">
        <v>6.7964500960448093E-2</v>
      </c>
      <c r="K22" s="21">
        <v>0.18753064925263541</v>
      </c>
      <c r="L22" s="21">
        <v>5.2575023063972305E-2</v>
      </c>
      <c r="M22" s="21"/>
      <c r="N22" s="21"/>
      <c r="O22" s="21"/>
      <c r="P22" s="21">
        <v>2.6991125237732609E-2</v>
      </c>
      <c r="Q22" s="21">
        <v>0.10796450095093051</v>
      </c>
    </row>
    <row r="23" spans="1:17" outlineLevel="1" x14ac:dyDescent="0.2">
      <c r="B23" t="s">
        <v>183</v>
      </c>
      <c r="C23" t="s">
        <v>162</v>
      </c>
      <c r="D23" s="20">
        <v>0.18753064925263541</v>
      </c>
      <c r="E23" s="20">
        <v>5.2575023063972312E-2</v>
      </c>
      <c r="F23" s="20">
        <v>4.9999999988103047E-2</v>
      </c>
      <c r="G23" s="20"/>
      <c r="H23" s="20"/>
      <c r="I23" s="20">
        <v>1.6991125240112006E-2</v>
      </c>
      <c r="J23" s="20">
        <v>6.7964500960448052E-2</v>
      </c>
      <c r="K23" s="21">
        <v>0.18753064925263541</v>
      </c>
      <c r="L23" s="21">
        <v>5.2575023063972312E-2</v>
      </c>
      <c r="M23" s="21"/>
      <c r="N23" s="21"/>
      <c r="O23" s="21"/>
      <c r="P23" s="21">
        <v>2.6991125237732609E-2</v>
      </c>
      <c r="Q23" s="21">
        <v>0.10796450095093048</v>
      </c>
    </row>
    <row r="24" spans="1:17" outlineLevel="1" x14ac:dyDescent="0.2">
      <c r="A24" t="s">
        <v>184</v>
      </c>
      <c r="B24" t="s">
        <v>185</v>
      </c>
      <c r="C24" t="s">
        <v>186</v>
      </c>
      <c r="D24" s="20">
        <v>0.27753064925263554</v>
      </c>
      <c r="E24" s="20">
        <v>5.2575023063972305E-2</v>
      </c>
      <c r="F24" s="20">
        <v>4.9999999988103054E-2</v>
      </c>
      <c r="G24" s="20"/>
      <c r="H24" s="20"/>
      <c r="I24" s="20">
        <v>3.4991125240112025E-2</v>
      </c>
      <c r="J24" s="20">
        <v>0.13996450096044816</v>
      </c>
      <c r="K24" s="21">
        <v>0.27753064925263554</v>
      </c>
      <c r="L24" s="21">
        <v>5.2575023063972312E-2</v>
      </c>
      <c r="M24" s="21"/>
      <c r="N24" s="21"/>
      <c r="O24" s="21"/>
      <c r="P24" s="21">
        <v>4.4991125237732632E-2</v>
      </c>
      <c r="Q24" s="21">
        <v>0.17996450095093064</v>
      </c>
    </row>
    <row r="25" spans="1:17" outlineLevel="1" x14ac:dyDescent="0.2">
      <c r="B25" t="s">
        <v>187</v>
      </c>
      <c r="C25" t="s">
        <v>162</v>
      </c>
      <c r="D25" s="20">
        <v>0.27753064925263549</v>
      </c>
      <c r="E25" s="20">
        <v>5.2575023063972305E-2</v>
      </c>
      <c r="F25" s="20">
        <v>4.9999999988103054E-2</v>
      </c>
      <c r="G25" s="20"/>
      <c r="H25" s="20"/>
      <c r="I25" s="20">
        <v>3.4991125240112012E-2</v>
      </c>
      <c r="J25" s="20">
        <v>0.13996450096044813</v>
      </c>
      <c r="K25" s="21">
        <v>0.27753064925263549</v>
      </c>
      <c r="L25" s="21">
        <v>5.2575023063972312E-2</v>
      </c>
      <c r="M25" s="21"/>
      <c r="N25" s="21"/>
      <c r="O25" s="21"/>
      <c r="P25" s="21">
        <v>4.4991125237732625E-2</v>
      </c>
      <c r="Q25" s="21">
        <v>0.17996450095093056</v>
      </c>
    </row>
    <row r="26" spans="1:17" outlineLevel="1" x14ac:dyDescent="0.2">
      <c r="A26" t="s">
        <v>188</v>
      </c>
      <c r="B26" t="s">
        <v>189</v>
      </c>
      <c r="C26" t="s">
        <v>190</v>
      </c>
      <c r="D26" s="20">
        <v>0.18753064925263538</v>
      </c>
      <c r="E26" s="20">
        <v>5.2575023063972312E-2</v>
      </c>
      <c r="F26" s="20">
        <v>4.9999999988103054E-2</v>
      </c>
      <c r="G26" s="20"/>
      <c r="H26" s="20"/>
      <c r="I26" s="20">
        <v>1.6991125240112002E-2</v>
      </c>
      <c r="J26" s="20">
        <v>6.7964500960448038E-2</v>
      </c>
      <c r="K26" s="21">
        <v>0.18753064925263543</v>
      </c>
      <c r="L26" s="21">
        <v>5.2575023063972312E-2</v>
      </c>
      <c r="M26" s="21"/>
      <c r="N26" s="21"/>
      <c r="O26" s="21"/>
      <c r="P26" s="21">
        <v>2.6991125237732616E-2</v>
      </c>
      <c r="Q26" s="21">
        <v>0.10796450095093052</v>
      </c>
    </row>
    <row r="27" spans="1:17" outlineLevel="1" x14ac:dyDescent="0.2">
      <c r="B27" t="s">
        <v>191</v>
      </c>
      <c r="C27" t="s">
        <v>162</v>
      </c>
      <c r="D27" s="20">
        <v>0.27753064925263549</v>
      </c>
      <c r="E27" s="20">
        <v>5.2575023063972312E-2</v>
      </c>
      <c r="F27" s="20">
        <v>4.9999999988103061E-2</v>
      </c>
      <c r="G27" s="20"/>
      <c r="H27" s="20"/>
      <c r="I27" s="20">
        <v>3.4991125240112012E-2</v>
      </c>
      <c r="J27" s="20">
        <v>0.1399645009604481</v>
      </c>
      <c r="K27" s="21">
        <v>0.27753064925263543</v>
      </c>
      <c r="L27" s="21">
        <v>5.2575023063972305E-2</v>
      </c>
      <c r="M27" s="21"/>
      <c r="N27" s="21"/>
      <c r="O27" s="21"/>
      <c r="P27" s="21">
        <v>4.4991125237732611E-2</v>
      </c>
      <c r="Q27" s="21">
        <v>0.1799645009509305</v>
      </c>
    </row>
    <row r="28" spans="1:17" outlineLevel="1" x14ac:dyDescent="0.2">
      <c r="A28" t="s">
        <v>192</v>
      </c>
      <c r="B28" t="s">
        <v>193</v>
      </c>
      <c r="C28" t="s">
        <v>194</v>
      </c>
      <c r="D28" s="20">
        <v>0.27753064925263543</v>
      </c>
      <c r="E28" s="20">
        <v>5.2575023063972312E-2</v>
      </c>
      <c r="F28" s="20">
        <v>4.9999999988103054E-2</v>
      </c>
      <c r="G28" s="20"/>
      <c r="H28" s="20"/>
      <c r="I28" s="20">
        <v>3.4991125240112005E-2</v>
      </c>
      <c r="J28" s="20">
        <v>0.13996450096044807</v>
      </c>
      <c r="K28" s="21">
        <v>0.27753064925263549</v>
      </c>
      <c r="L28" s="21">
        <v>5.2575023063972312E-2</v>
      </c>
      <c r="M28" s="21"/>
      <c r="N28" s="21"/>
      <c r="O28" s="21"/>
      <c r="P28" s="21">
        <v>4.4991125237732618E-2</v>
      </c>
      <c r="Q28" s="21">
        <v>0.17996450095093056</v>
      </c>
    </row>
    <row r="29" spans="1:17" outlineLevel="1" x14ac:dyDescent="0.2">
      <c r="B29" t="s">
        <v>195</v>
      </c>
      <c r="C29" t="s">
        <v>162</v>
      </c>
      <c r="D29" s="20">
        <v>0.27753064925263549</v>
      </c>
      <c r="E29" s="20">
        <v>5.2575023063972319E-2</v>
      </c>
      <c r="F29" s="20">
        <v>4.9999999988103047E-2</v>
      </c>
      <c r="G29" s="20"/>
      <c r="H29" s="20"/>
      <c r="I29" s="20">
        <v>3.4991125240112012E-2</v>
      </c>
      <c r="J29" s="20">
        <v>0.13996450096044813</v>
      </c>
      <c r="K29" s="21">
        <v>0.27753064925263554</v>
      </c>
      <c r="L29" s="21">
        <v>5.2575023063972312E-2</v>
      </c>
      <c r="M29" s="21"/>
      <c r="N29" s="21"/>
      <c r="O29" s="21"/>
      <c r="P29" s="21">
        <v>4.4991125237732618E-2</v>
      </c>
      <c r="Q29" s="21">
        <v>0.17996450095093058</v>
      </c>
    </row>
    <row r="30" spans="1:17" outlineLevel="1" x14ac:dyDescent="0.2">
      <c r="A30" t="s">
        <v>196</v>
      </c>
      <c r="B30" t="s">
        <v>197</v>
      </c>
      <c r="C30" t="s">
        <v>13</v>
      </c>
      <c r="D30" s="20">
        <v>0.13753064925263531</v>
      </c>
      <c r="E30" s="20">
        <v>5.2575023063972312E-2</v>
      </c>
      <c r="F30" s="20">
        <v>4.9999999988103047E-2</v>
      </c>
      <c r="G30" s="20">
        <v>1.2023903376420441E-2</v>
      </c>
      <c r="H30" s="20"/>
      <c r="I30" s="20">
        <v>4.5863445648278989E-3</v>
      </c>
      <c r="J30" s="20">
        <v>1.8345378259311606E-2</v>
      </c>
      <c r="K30" s="21">
        <v>0.14753064925263543</v>
      </c>
      <c r="L30" s="21">
        <v>5.2575023063972305E-2</v>
      </c>
      <c r="M30" s="21"/>
      <c r="N30" s="21">
        <v>3.2662475213266054E-2</v>
      </c>
      <c r="O30" s="21"/>
      <c r="P30" s="21">
        <v>1.2458630195079409E-2</v>
      </c>
      <c r="Q30" s="21">
        <v>4.9834520780317658E-2</v>
      </c>
    </row>
    <row r="31" spans="1:17" outlineLevel="1" x14ac:dyDescent="0.2">
      <c r="A31" t="s">
        <v>198</v>
      </c>
      <c r="B31" t="s">
        <v>199</v>
      </c>
      <c r="C31" t="s">
        <v>200</v>
      </c>
      <c r="D31" s="20">
        <v>0.14753064925263548</v>
      </c>
      <c r="E31" s="20">
        <v>5.2575023063972305E-2</v>
      </c>
      <c r="F31" s="20">
        <v>4.9999999988103054E-2</v>
      </c>
      <c r="G31" s="20">
        <v>1.5463665349910142E-2</v>
      </c>
      <c r="H31" s="20"/>
      <c r="I31" s="20">
        <v>5.8983921701299914E-3</v>
      </c>
      <c r="J31" s="20">
        <v>2.3593568680519976E-2</v>
      </c>
      <c r="K31" s="21">
        <v>0.1475306492526354</v>
      </c>
      <c r="L31" s="21">
        <v>5.2575023063972312E-2</v>
      </c>
      <c r="M31" s="21"/>
      <c r="N31" s="21">
        <v>3.266247521326604E-2</v>
      </c>
      <c r="O31" s="21"/>
      <c r="P31" s="21">
        <v>1.2458630195079406E-2</v>
      </c>
      <c r="Q31" s="21">
        <v>4.9834520780317637E-2</v>
      </c>
    </row>
    <row r="32" spans="1:17" outlineLevel="1" x14ac:dyDescent="0.2">
      <c r="A32" t="s">
        <v>201</v>
      </c>
      <c r="B32" t="s">
        <v>202</v>
      </c>
      <c r="C32" t="s">
        <v>203</v>
      </c>
      <c r="D32" s="20">
        <v>0.18753064925263549</v>
      </c>
      <c r="E32" s="20">
        <v>5.2575023063972312E-2</v>
      </c>
      <c r="F32" s="20">
        <v>4.9999999988103054E-2</v>
      </c>
      <c r="G32" s="20">
        <v>2.9222713243868725E-2</v>
      </c>
      <c r="H32" s="20"/>
      <c r="I32" s="20">
        <v>1.1146582591338274E-2</v>
      </c>
      <c r="J32" s="20">
        <v>4.4586330365353116E-2</v>
      </c>
      <c r="K32" s="21">
        <v>0.18753064925263546</v>
      </c>
      <c r="L32" s="21">
        <v>5.2575023063972305E-2</v>
      </c>
      <c r="M32" s="21"/>
      <c r="N32" s="21">
        <v>4.6421523107224624E-2</v>
      </c>
      <c r="O32" s="21"/>
      <c r="P32" s="21">
        <v>1.77068206162877E-2</v>
      </c>
      <c r="Q32" s="21">
        <v>7.0827282465150812E-2</v>
      </c>
    </row>
    <row r="33" spans="1:17" outlineLevel="1" x14ac:dyDescent="0.2">
      <c r="A33" t="s">
        <v>204</v>
      </c>
      <c r="B33" t="s">
        <v>205</v>
      </c>
      <c r="C33" t="s">
        <v>206</v>
      </c>
      <c r="D33" s="20">
        <v>0.18753064925263546</v>
      </c>
      <c r="E33" s="20">
        <v>5.2575023063972312E-2</v>
      </c>
      <c r="F33" s="20">
        <v>4.9999999988103054E-2</v>
      </c>
      <c r="G33" s="20">
        <v>2.9222713243868711E-2</v>
      </c>
      <c r="H33" s="20"/>
      <c r="I33" s="20">
        <v>1.114658259133827E-2</v>
      </c>
      <c r="J33" s="20">
        <v>4.4586330365353095E-2</v>
      </c>
      <c r="K33" s="21">
        <v>0.18753064925263541</v>
      </c>
      <c r="L33" s="21">
        <v>5.2575023063972312E-2</v>
      </c>
      <c r="M33" s="21"/>
      <c r="N33" s="21">
        <v>4.6421523107224617E-2</v>
      </c>
      <c r="O33" s="21"/>
      <c r="P33" s="21">
        <v>1.7706820616287693E-2</v>
      </c>
      <c r="Q33" s="21">
        <v>7.0827282465150798E-2</v>
      </c>
    </row>
    <row r="34" spans="1:17" outlineLevel="1" x14ac:dyDescent="0.2">
      <c r="A34" t="s">
        <v>207</v>
      </c>
      <c r="B34" t="s">
        <v>208</v>
      </c>
      <c r="C34" t="s">
        <v>209</v>
      </c>
      <c r="D34" s="20">
        <v>0.18753064925263546</v>
      </c>
      <c r="E34" s="20">
        <v>5.2575023063972312E-2</v>
      </c>
      <c r="F34" s="20">
        <v>4.9999999988103054E-2</v>
      </c>
      <c r="G34" s="20">
        <v>2.9222713243868714E-2</v>
      </c>
      <c r="H34" s="20"/>
      <c r="I34" s="20">
        <v>1.1146582591338272E-2</v>
      </c>
      <c r="J34" s="20">
        <v>4.4586330365353109E-2</v>
      </c>
      <c r="K34" s="21">
        <v>0.18753064925263543</v>
      </c>
      <c r="L34" s="21">
        <v>5.2575023063972305E-2</v>
      </c>
      <c r="M34" s="21"/>
      <c r="N34" s="21">
        <v>4.6421523107224617E-2</v>
      </c>
      <c r="O34" s="21"/>
      <c r="P34" s="21">
        <v>1.7706820616287693E-2</v>
      </c>
      <c r="Q34" s="21">
        <v>7.0827282465150812E-2</v>
      </c>
    </row>
    <row r="35" spans="1:17" outlineLevel="1" x14ac:dyDescent="0.2">
      <c r="A35" t="s">
        <v>210</v>
      </c>
      <c r="B35" t="s">
        <v>211</v>
      </c>
      <c r="C35" t="s">
        <v>212</v>
      </c>
      <c r="D35" s="20">
        <v>0.18753064925263543</v>
      </c>
      <c r="E35" s="20">
        <v>5.2575023063972319E-2</v>
      </c>
      <c r="F35" s="20">
        <v>4.9999999988103061E-2</v>
      </c>
      <c r="G35" s="20">
        <v>2.9222713243868697E-2</v>
      </c>
      <c r="H35" s="20"/>
      <c r="I35" s="20">
        <v>1.1146582591338267E-2</v>
      </c>
      <c r="J35" s="20">
        <v>4.4586330365353088E-2</v>
      </c>
      <c r="K35" s="21">
        <v>0.18753064925263543</v>
      </c>
      <c r="L35" s="21">
        <v>5.2575023063972312E-2</v>
      </c>
      <c r="M35" s="21"/>
      <c r="N35" s="21">
        <v>4.6421523107224624E-2</v>
      </c>
      <c r="O35" s="21"/>
      <c r="P35" s="21">
        <v>1.7706820616287693E-2</v>
      </c>
      <c r="Q35" s="21">
        <v>7.0827282465150798E-2</v>
      </c>
    </row>
    <row r="36" spans="1:17" outlineLevel="1" x14ac:dyDescent="0.2">
      <c r="A36" t="s">
        <v>213</v>
      </c>
      <c r="B36" t="s">
        <v>214</v>
      </c>
      <c r="C36" t="s">
        <v>215</v>
      </c>
      <c r="D36" s="20">
        <v>0.18753064925263543</v>
      </c>
      <c r="E36" s="20">
        <v>5.2575023063972312E-2</v>
      </c>
      <c r="F36" s="20">
        <v>4.9999999988103047E-2</v>
      </c>
      <c r="G36" s="20">
        <v>2.9222713243868707E-2</v>
      </c>
      <c r="H36" s="20"/>
      <c r="I36" s="20">
        <v>1.114658259133827E-2</v>
      </c>
      <c r="J36" s="20">
        <v>4.4586330365353088E-2</v>
      </c>
      <c r="K36" s="21">
        <v>0.18753064925263541</v>
      </c>
      <c r="L36" s="21">
        <v>5.2575023063972305E-2</v>
      </c>
      <c r="M36" s="21"/>
      <c r="N36" s="21">
        <v>4.642152310722461E-2</v>
      </c>
      <c r="O36" s="21"/>
      <c r="P36" s="21">
        <v>1.7706820616287689E-2</v>
      </c>
      <c r="Q36" s="21">
        <v>7.0827282465150798E-2</v>
      </c>
    </row>
    <row r="37" spans="1:17" outlineLevel="1" x14ac:dyDescent="0.2">
      <c r="A37" t="s">
        <v>216</v>
      </c>
      <c r="B37" t="s">
        <v>217</v>
      </c>
      <c r="C37" t="s">
        <v>218</v>
      </c>
      <c r="D37" s="20">
        <v>0.18753064925263546</v>
      </c>
      <c r="E37" s="20">
        <v>5.2575023063972312E-2</v>
      </c>
      <c r="F37" s="20">
        <v>4.9999999988103061E-2</v>
      </c>
      <c r="G37" s="20">
        <v>2.9222713243868711E-2</v>
      </c>
      <c r="H37" s="20"/>
      <c r="I37" s="20">
        <v>1.1146582591338274E-2</v>
      </c>
      <c r="J37" s="20">
        <v>4.4586330365353116E-2</v>
      </c>
      <c r="K37" s="21">
        <v>0.18753064925263546</v>
      </c>
      <c r="L37" s="21">
        <v>5.2575023063972312E-2</v>
      </c>
      <c r="M37" s="21"/>
      <c r="N37" s="21">
        <v>4.6421523107224638E-2</v>
      </c>
      <c r="O37" s="21"/>
      <c r="P37" s="21">
        <v>1.77068206162877E-2</v>
      </c>
      <c r="Q37" s="21">
        <v>7.0827282465150826E-2</v>
      </c>
    </row>
    <row r="38" spans="1:17" outlineLevel="1" x14ac:dyDescent="0.2">
      <c r="A38" t="s">
        <v>219</v>
      </c>
      <c r="B38" t="s">
        <v>220</v>
      </c>
      <c r="C38" t="s">
        <v>221</v>
      </c>
      <c r="D38" s="20">
        <v>0.18753064925263549</v>
      </c>
      <c r="E38" s="20">
        <v>5.2575023063972312E-2</v>
      </c>
      <c r="F38" s="20">
        <v>4.9999999988103054E-2</v>
      </c>
      <c r="G38" s="20">
        <v>2.9222713243868725E-2</v>
      </c>
      <c r="H38" s="20"/>
      <c r="I38" s="20">
        <v>1.1146582591338277E-2</v>
      </c>
      <c r="J38" s="20">
        <v>4.4586330365353123E-2</v>
      </c>
      <c r="K38" s="21">
        <v>0.18753064925263541</v>
      </c>
      <c r="L38" s="21">
        <v>5.2575023063972312E-2</v>
      </c>
      <c r="M38" s="21"/>
      <c r="N38" s="21">
        <v>4.642152310722461E-2</v>
      </c>
      <c r="O38" s="21"/>
      <c r="P38" s="21">
        <v>1.7706820616287689E-2</v>
      </c>
      <c r="Q38" s="21">
        <v>7.0827282465150798E-2</v>
      </c>
    </row>
    <row r="39" spans="1:17" outlineLevel="1" x14ac:dyDescent="0.2">
      <c r="A39" t="s">
        <v>222</v>
      </c>
      <c r="B39" t="s">
        <v>223</v>
      </c>
      <c r="C39" t="s">
        <v>224</v>
      </c>
      <c r="D39" s="20">
        <v>0.18753064925263538</v>
      </c>
      <c r="E39" s="20">
        <v>5.2575023063972312E-2</v>
      </c>
      <c r="F39" s="20">
        <v>4.9999999988103054E-2</v>
      </c>
      <c r="G39" s="20">
        <v>2.922271324386868E-2</v>
      </c>
      <c r="H39" s="20"/>
      <c r="I39" s="20">
        <v>1.1146582591338258E-2</v>
      </c>
      <c r="J39" s="20">
        <v>4.4586330365353047E-2</v>
      </c>
      <c r="K39" s="21">
        <v>0.18753064925263541</v>
      </c>
      <c r="L39" s="21">
        <v>5.2575023063972305E-2</v>
      </c>
      <c r="M39" s="21"/>
      <c r="N39" s="21">
        <v>4.6421523107224617E-2</v>
      </c>
      <c r="O39" s="21"/>
      <c r="P39" s="21">
        <v>1.7706820616287689E-2</v>
      </c>
      <c r="Q39" s="21">
        <v>7.0827282465150784E-2</v>
      </c>
    </row>
    <row r="40" spans="1:17" outlineLevel="1" x14ac:dyDescent="0.2">
      <c r="A40" t="s">
        <v>225</v>
      </c>
      <c r="B40" t="s">
        <v>226</v>
      </c>
      <c r="C40" t="s">
        <v>227</v>
      </c>
      <c r="D40" s="20">
        <v>0.18753064925263543</v>
      </c>
      <c r="E40" s="20">
        <v>5.2575023063972312E-2</v>
      </c>
      <c r="F40" s="20">
        <v>4.9999999988103047E-2</v>
      </c>
      <c r="G40" s="20">
        <v>2.9222713243868707E-2</v>
      </c>
      <c r="H40" s="20"/>
      <c r="I40" s="20">
        <v>1.1146582591338272E-2</v>
      </c>
      <c r="J40" s="20">
        <v>4.4586330365353102E-2</v>
      </c>
      <c r="K40" s="21">
        <v>0.18753064925263543</v>
      </c>
      <c r="L40" s="21">
        <v>5.2575023063972305E-2</v>
      </c>
      <c r="M40" s="21"/>
      <c r="N40" s="21">
        <v>4.6421523107224624E-2</v>
      </c>
      <c r="O40" s="21"/>
      <c r="P40" s="21">
        <v>1.7706820616287693E-2</v>
      </c>
      <c r="Q40" s="21">
        <v>7.0827282465150798E-2</v>
      </c>
    </row>
    <row r="41" spans="1:17" outlineLevel="1" x14ac:dyDescent="0.2">
      <c r="A41" t="s">
        <v>228</v>
      </c>
      <c r="B41" t="s">
        <v>229</v>
      </c>
      <c r="C41" t="s">
        <v>230</v>
      </c>
      <c r="D41" s="20">
        <v>0.18753064925263546</v>
      </c>
      <c r="E41" s="20">
        <v>5.2575023063972312E-2</v>
      </c>
      <c r="F41" s="20">
        <v>4.9999999988103054E-2</v>
      </c>
      <c r="G41" s="20">
        <v>2.9222713243868721E-2</v>
      </c>
      <c r="H41" s="20"/>
      <c r="I41" s="20">
        <v>1.1146582591338276E-2</v>
      </c>
      <c r="J41" s="20">
        <v>4.4586330365353123E-2</v>
      </c>
      <c r="K41" s="21">
        <v>0.18753064925263546</v>
      </c>
      <c r="L41" s="21">
        <v>5.2575023063972312E-2</v>
      </c>
      <c r="M41" s="21"/>
      <c r="N41" s="21">
        <v>4.6421523107224624E-2</v>
      </c>
      <c r="O41" s="21"/>
      <c r="P41" s="21">
        <v>1.7706820616287696E-2</v>
      </c>
      <c r="Q41" s="21">
        <v>7.0827282465150812E-2</v>
      </c>
    </row>
    <row r="42" spans="1:17" outlineLevel="1" x14ac:dyDescent="0.2">
      <c r="A42" t="s">
        <v>231</v>
      </c>
      <c r="B42" t="s">
        <v>232</v>
      </c>
      <c r="C42" t="s">
        <v>233</v>
      </c>
      <c r="D42" s="20">
        <v>0.18753064925263541</v>
      </c>
      <c r="E42" s="20">
        <v>5.2575023063972312E-2</v>
      </c>
      <c r="F42" s="20">
        <v>4.9999999988103047E-2</v>
      </c>
      <c r="G42" s="20">
        <v>2.92227132438687E-2</v>
      </c>
      <c r="H42" s="20"/>
      <c r="I42" s="20">
        <v>1.1146582591338267E-2</v>
      </c>
      <c r="J42" s="20">
        <v>4.4586330365353082E-2</v>
      </c>
      <c r="K42" s="21">
        <v>0.18753064925263546</v>
      </c>
      <c r="L42" s="21">
        <v>5.2575023063972319E-2</v>
      </c>
      <c r="M42" s="21"/>
      <c r="N42" s="21">
        <v>4.6421523107224631E-2</v>
      </c>
      <c r="O42" s="21"/>
      <c r="P42" s="21">
        <v>1.7706820616287693E-2</v>
      </c>
      <c r="Q42" s="21">
        <v>7.0827282465150798E-2</v>
      </c>
    </row>
    <row r="43" spans="1:17" outlineLevel="1" x14ac:dyDescent="0.2">
      <c r="A43" t="s">
        <v>234</v>
      </c>
      <c r="B43" t="s">
        <v>235</v>
      </c>
      <c r="C43" t="s">
        <v>236</v>
      </c>
      <c r="D43" s="20">
        <v>0.18753064925263538</v>
      </c>
      <c r="E43" s="20">
        <v>5.2575023063972305E-2</v>
      </c>
      <c r="F43" s="20">
        <v>4.9999999988103054E-2</v>
      </c>
      <c r="G43" s="20">
        <v>2.9222713243868693E-2</v>
      </c>
      <c r="H43" s="20"/>
      <c r="I43" s="20">
        <v>1.1146582591338265E-2</v>
      </c>
      <c r="J43" s="20">
        <v>4.4586330365353082E-2</v>
      </c>
      <c r="K43" s="21">
        <v>0.18753064925263543</v>
      </c>
      <c r="L43" s="21">
        <v>5.2575023063972319E-2</v>
      </c>
      <c r="M43" s="21"/>
      <c r="N43" s="21">
        <v>4.6421523107224624E-2</v>
      </c>
      <c r="O43" s="21"/>
      <c r="P43" s="21">
        <v>1.7706820616287693E-2</v>
      </c>
      <c r="Q43" s="21">
        <v>7.0827282465150798E-2</v>
      </c>
    </row>
    <row r="44" spans="1:17" outlineLevel="1" x14ac:dyDescent="0.2">
      <c r="A44" t="s">
        <v>237</v>
      </c>
      <c r="B44" t="s">
        <v>238</v>
      </c>
      <c r="C44" t="s">
        <v>239</v>
      </c>
      <c r="D44" s="20">
        <v>0.18753064925263541</v>
      </c>
      <c r="E44" s="20">
        <v>5.2575023063972305E-2</v>
      </c>
      <c r="F44" s="20">
        <v>4.9999999988103047E-2</v>
      </c>
      <c r="G44" s="20">
        <v>2.92227132438687E-2</v>
      </c>
      <c r="H44" s="20"/>
      <c r="I44" s="20">
        <v>1.1146582591338267E-2</v>
      </c>
      <c r="J44" s="20">
        <v>4.4586330365353088E-2</v>
      </c>
      <c r="K44" s="21">
        <v>0.18753064925263546</v>
      </c>
      <c r="L44" s="21">
        <v>5.2575023063972312E-2</v>
      </c>
      <c r="M44" s="21"/>
      <c r="N44" s="21">
        <v>4.6421523107224631E-2</v>
      </c>
      <c r="O44" s="21"/>
      <c r="P44" s="21">
        <v>1.7706820616287696E-2</v>
      </c>
      <c r="Q44" s="21">
        <v>7.0827282465150826E-2</v>
      </c>
    </row>
    <row r="45" spans="1:17" outlineLevel="1" x14ac:dyDescent="0.2">
      <c r="A45" t="s">
        <v>240</v>
      </c>
      <c r="B45" t="s">
        <v>241</v>
      </c>
      <c r="C45" t="s">
        <v>242</v>
      </c>
      <c r="D45" s="20">
        <v>0.18753064925263541</v>
      </c>
      <c r="E45" s="20">
        <v>5.2575023063972312E-2</v>
      </c>
      <c r="F45" s="20">
        <v>4.9999999988103054E-2</v>
      </c>
      <c r="G45" s="20">
        <v>2.9222713243868693E-2</v>
      </c>
      <c r="H45" s="20"/>
      <c r="I45" s="20">
        <v>1.1146582591338263E-2</v>
      </c>
      <c r="J45" s="20">
        <v>4.4586330365353075E-2</v>
      </c>
      <c r="K45" s="21">
        <v>0.18753064925263546</v>
      </c>
      <c r="L45" s="21">
        <v>5.2575023063972312E-2</v>
      </c>
      <c r="M45" s="21"/>
      <c r="N45" s="21">
        <v>4.6421523107224631E-2</v>
      </c>
      <c r="O45" s="21"/>
      <c r="P45" s="21">
        <v>1.77068206162877E-2</v>
      </c>
      <c r="Q45" s="21">
        <v>7.0827282465150826E-2</v>
      </c>
    </row>
    <row r="46" spans="1:17" outlineLevel="1" x14ac:dyDescent="0.2">
      <c r="A46" t="s">
        <v>243</v>
      </c>
      <c r="B46" t="s">
        <v>244</v>
      </c>
      <c r="C46" t="s">
        <v>245</v>
      </c>
      <c r="D46" s="20">
        <v>0.18753064925263546</v>
      </c>
      <c r="E46" s="20">
        <v>5.2575023063972305E-2</v>
      </c>
      <c r="F46" s="20">
        <v>4.9999999988103047E-2</v>
      </c>
      <c r="G46" s="20">
        <v>2.9222713243868714E-2</v>
      </c>
      <c r="H46" s="20"/>
      <c r="I46" s="20">
        <v>1.1146582591338272E-2</v>
      </c>
      <c r="J46" s="20">
        <v>4.4586330365353116E-2</v>
      </c>
      <c r="K46" s="21">
        <v>0.18753064925263538</v>
      </c>
      <c r="L46" s="21">
        <v>5.2575023063972312E-2</v>
      </c>
      <c r="M46" s="21"/>
      <c r="N46" s="21">
        <v>4.642152310722461E-2</v>
      </c>
      <c r="O46" s="21"/>
      <c r="P46" s="21">
        <v>1.7706820616287689E-2</v>
      </c>
      <c r="Q46" s="21">
        <v>7.0827282465150784E-2</v>
      </c>
    </row>
    <row r="47" spans="1:17" outlineLevel="1" x14ac:dyDescent="0.2">
      <c r="A47" t="s">
        <v>246</v>
      </c>
      <c r="B47" t="s">
        <v>247</v>
      </c>
      <c r="C47" t="s">
        <v>248</v>
      </c>
      <c r="D47" s="20">
        <v>0.14753064925263537</v>
      </c>
      <c r="E47" s="20">
        <v>5.2575023063972312E-2</v>
      </c>
      <c r="F47" s="20">
        <v>4.9999999988103054E-2</v>
      </c>
      <c r="G47" s="20">
        <v>1.5463665349910099E-2</v>
      </c>
      <c r="H47" s="20"/>
      <c r="I47" s="20">
        <v>5.898392170129974E-3</v>
      </c>
      <c r="J47" s="20">
        <v>2.359356868051991E-2</v>
      </c>
      <c r="K47" s="21">
        <v>0.14753064925263537</v>
      </c>
      <c r="L47" s="21">
        <v>5.2575023063972305E-2</v>
      </c>
      <c r="M47" s="21"/>
      <c r="N47" s="21">
        <v>3.2662475213266033E-2</v>
      </c>
      <c r="O47" s="21"/>
      <c r="P47" s="21">
        <v>1.2458630195079399E-2</v>
      </c>
      <c r="Q47" s="21">
        <v>4.983452078031763E-2</v>
      </c>
    </row>
    <row r="48" spans="1:17" outlineLevel="1" x14ac:dyDescent="0.2">
      <c r="A48" t="s">
        <v>249</v>
      </c>
      <c r="B48" t="s">
        <v>250</v>
      </c>
      <c r="C48" t="s">
        <v>251</v>
      </c>
      <c r="D48" s="20">
        <v>0.18753064925263546</v>
      </c>
      <c r="E48" s="20">
        <v>5.2575023063972305E-2</v>
      </c>
      <c r="F48" s="20">
        <v>4.9999999988103054E-2</v>
      </c>
      <c r="G48" s="20">
        <v>2.9222713243868718E-2</v>
      </c>
      <c r="H48" s="20"/>
      <c r="I48" s="20">
        <v>1.1146582591338272E-2</v>
      </c>
      <c r="J48" s="20">
        <v>4.4586330365353109E-2</v>
      </c>
      <c r="K48" s="21">
        <v>0.18753064925263541</v>
      </c>
      <c r="L48" s="21">
        <v>5.2575023063972312E-2</v>
      </c>
      <c r="M48" s="21"/>
      <c r="N48" s="21">
        <v>4.6421523107224631E-2</v>
      </c>
      <c r="O48" s="21"/>
      <c r="P48" s="21">
        <v>1.7706820616287689E-2</v>
      </c>
      <c r="Q48" s="21">
        <v>7.0827282465150798E-2</v>
      </c>
    </row>
    <row r="49" spans="1:17" outlineLevel="1" x14ac:dyDescent="0.2">
      <c r="A49" t="s">
        <v>252</v>
      </c>
      <c r="B49" t="s">
        <v>253</v>
      </c>
      <c r="C49" t="s">
        <v>254</v>
      </c>
      <c r="D49" s="20">
        <v>0.18753064925263546</v>
      </c>
      <c r="E49" s="20">
        <v>5.2575023063972305E-2</v>
      </c>
      <c r="F49" s="20">
        <v>4.9999999988103047E-2</v>
      </c>
      <c r="G49" s="20">
        <v>2.9222713243868725E-2</v>
      </c>
      <c r="H49" s="20"/>
      <c r="I49" s="20">
        <v>1.1146582591338276E-2</v>
      </c>
      <c r="J49" s="20">
        <v>4.4586330365353116E-2</v>
      </c>
      <c r="K49" s="21">
        <v>0.18753064925263541</v>
      </c>
      <c r="L49" s="21">
        <v>5.2575023063972312E-2</v>
      </c>
      <c r="M49" s="21"/>
      <c r="N49" s="21">
        <v>4.642152310722461E-2</v>
      </c>
      <c r="O49" s="21"/>
      <c r="P49" s="21">
        <v>1.7706820616287689E-2</v>
      </c>
      <c r="Q49" s="21">
        <v>7.0827282465150784E-2</v>
      </c>
    </row>
    <row r="50" spans="1:17" outlineLevel="1" x14ac:dyDescent="0.2">
      <c r="A50" t="s">
        <v>255</v>
      </c>
      <c r="B50" t="s">
        <v>256</v>
      </c>
      <c r="C50" t="s">
        <v>257</v>
      </c>
      <c r="D50" s="20">
        <v>0.18753064925263538</v>
      </c>
      <c r="E50" s="20">
        <v>5.2575023063972312E-2</v>
      </c>
      <c r="F50" s="20">
        <v>4.9999999988103047E-2</v>
      </c>
      <c r="G50" s="20">
        <v>2.9222713243868693E-2</v>
      </c>
      <c r="H50" s="20"/>
      <c r="I50" s="20">
        <v>1.1146582591338265E-2</v>
      </c>
      <c r="J50" s="20">
        <v>4.4586330365353075E-2</v>
      </c>
      <c r="K50" s="21">
        <v>0.18753064925263543</v>
      </c>
      <c r="L50" s="21">
        <v>5.2575023063972312E-2</v>
      </c>
      <c r="M50" s="21"/>
      <c r="N50" s="21">
        <v>4.6421523107224617E-2</v>
      </c>
      <c r="O50" s="21"/>
      <c r="P50" s="21">
        <v>1.7706820616287689E-2</v>
      </c>
      <c r="Q50" s="21">
        <v>7.0827282465150798E-2</v>
      </c>
    </row>
    <row r="51" spans="1:17" outlineLevel="1" x14ac:dyDescent="0.2">
      <c r="A51" t="s">
        <v>258</v>
      </c>
      <c r="B51" t="s">
        <v>259</v>
      </c>
      <c r="C51" t="s">
        <v>260</v>
      </c>
      <c r="D51" s="20">
        <v>0.18753064925263541</v>
      </c>
      <c r="E51" s="20">
        <v>5.2575023063972312E-2</v>
      </c>
      <c r="F51" s="20">
        <v>4.9999999988103054E-2</v>
      </c>
      <c r="G51" s="20">
        <v>2.922271324386869E-2</v>
      </c>
      <c r="H51" s="20"/>
      <c r="I51" s="20">
        <v>1.1146582591338263E-2</v>
      </c>
      <c r="J51" s="20">
        <v>4.4586330365353075E-2</v>
      </c>
      <c r="K51" s="21">
        <v>0.18753064925263538</v>
      </c>
      <c r="L51" s="21">
        <v>5.2575023063972305E-2</v>
      </c>
      <c r="M51" s="21"/>
      <c r="N51" s="21">
        <v>4.6421523107224603E-2</v>
      </c>
      <c r="O51" s="21"/>
      <c r="P51" s="21">
        <v>1.7706820616287682E-2</v>
      </c>
      <c r="Q51" s="21">
        <v>7.0827282465150798E-2</v>
      </c>
    </row>
    <row r="52" spans="1:17" outlineLevel="1" x14ac:dyDescent="0.2">
      <c r="A52" t="s">
        <v>261</v>
      </c>
      <c r="B52" t="s">
        <v>262</v>
      </c>
      <c r="C52" t="s">
        <v>263</v>
      </c>
      <c r="D52" s="20">
        <v>0.18753064925263549</v>
      </c>
      <c r="E52" s="20">
        <v>5.2575023063972305E-2</v>
      </c>
      <c r="F52" s="20">
        <v>4.9999999988103047E-2</v>
      </c>
      <c r="G52" s="20">
        <v>2.9222713243868725E-2</v>
      </c>
      <c r="H52" s="20"/>
      <c r="I52" s="20">
        <v>1.1146582591338277E-2</v>
      </c>
      <c r="J52" s="20">
        <v>4.458633036535313E-2</v>
      </c>
      <c r="K52" s="21">
        <v>0.18753064925263543</v>
      </c>
      <c r="L52" s="21">
        <v>5.2575023063972312E-2</v>
      </c>
      <c r="M52" s="21"/>
      <c r="N52" s="21">
        <v>4.6421523107224631E-2</v>
      </c>
      <c r="O52" s="21"/>
      <c r="P52" s="21">
        <v>1.7706820616287696E-2</v>
      </c>
      <c r="Q52" s="21">
        <v>7.0827282465150826E-2</v>
      </c>
    </row>
    <row r="53" spans="1:17" outlineLevel="1" x14ac:dyDescent="0.2">
      <c r="A53" t="s">
        <v>264</v>
      </c>
      <c r="B53" t="s">
        <v>265</v>
      </c>
      <c r="C53" t="s">
        <v>266</v>
      </c>
      <c r="D53" s="20">
        <v>0.18753064925263541</v>
      </c>
      <c r="E53" s="20">
        <v>5.2575023063972312E-2</v>
      </c>
      <c r="F53" s="20">
        <v>4.9999999988103054E-2</v>
      </c>
      <c r="G53" s="20">
        <v>2.9222713243868697E-2</v>
      </c>
      <c r="H53" s="20"/>
      <c r="I53" s="20">
        <v>1.1146582591338267E-2</v>
      </c>
      <c r="J53" s="20">
        <v>4.4586330365353082E-2</v>
      </c>
      <c r="K53" s="21">
        <v>0.18753064925263546</v>
      </c>
      <c r="L53" s="21">
        <v>5.2575023063972319E-2</v>
      </c>
      <c r="M53" s="21"/>
      <c r="N53" s="21">
        <v>4.6421523107224638E-2</v>
      </c>
      <c r="O53" s="21"/>
      <c r="P53" s="21">
        <v>1.7706820616287693E-2</v>
      </c>
      <c r="Q53" s="21">
        <v>7.0827282465150812E-2</v>
      </c>
    </row>
    <row r="54" spans="1:17" outlineLevel="1" x14ac:dyDescent="0.2">
      <c r="A54" t="s">
        <v>267</v>
      </c>
      <c r="B54" t="s">
        <v>268</v>
      </c>
      <c r="C54" t="s">
        <v>269</v>
      </c>
      <c r="D54" s="20">
        <v>0.18753064925263543</v>
      </c>
      <c r="E54" s="20">
        <v>5.2575023063972319E-2</v>
      </c>
      <c r="F54" s="20">
        <v>4.9999999988103047E-2</v>
      </c>
      <c r="G54" s="20">
        <v>2.92227132438687E-2</v>
      </c>
      <c r="H54" s="20"/>
      <c r="I54" s="20">
        <v>1.1146582591338265E-2</v>
      </c>
      <c r="J54" s="20">
        <v>4.4586330365353082E-2</v>
      </c>
      <c r="K54" s="21">
        <v>0.18753064925263538</v>
      </c>
      <c r="L54" s="21">
        <v>5.2575023063972312E-2</v>
      </c>
      <c r="M54" s="21"/>
      <c r="N54" s="21">
        <v>4.6421523107224603E-2</v>
      </c>
      <c r="O54" s="21"/>
      <c r="P54" s="21">
        <v>1.7706820616287686E-2</v>
      </c>
      <c r="Q54" s="21">
        <v>7.082728246515077E-2</v>
      </c>
    </row>
    <row r="55" spans="1:17" outlineLevel="1" x14ac:dyDescent="0.2">
      <c r="A55" t="s">
        <v>270</v>
      </c>
      <c r="B55" t="s">
        <v>271</v>
      </c>
      <c r="C55" t="s">
        <v>272</v>
      </c>
      <c r="D55" s="20">
        <v>0.14753064925263534</v>
      </c>
      <c r="E55" s="20">
        <v>5.2575023063972305E-2</v>
      </c>
      <c r="F55" s="20">
        <v>4.9999999988103054E-2</v>
      </c>
      <c r="G55" s="20">
        <v>1.5463665349910099E-2</v>
      </c>
      <c r="H55" s="20"/>
      <c r="I55" s="20">
        <v>5.8983921701299758E-3</v>
      </c>
      <c r="J55" s="20">
        <v>2.3593568680519914E-2</v>
      </c>
      <c r="K55" s="21">
        <v>0.1475306492526354</v>
      </c>
      <c r="L55" s="21">
        <v>5.2575023063972312E-2</v>
      </c>
      <c r="M55" s="21"/>
      <c r="N55" s="21">
        <v>3.266247521326604E-2</v>
      </c>
      <c r="O55" s="21"/>
      <c r="P55" s="21">
        <v>1.2458630195079404E-2</v>
      </c>
      <c r="Q55" s="21">
        <v>4.9834520780317637E-2</v>
      </c>
    </row>
    <row r="56" spans="1:17" outlineLevel="1" x14ac:dyDescent="0.2">
      <c r="A56" t="s">
        <v>273</v>
      </c>
      <c r="B56" t="s">
        <v>274</v>
      </c>
      <c r="C56" t="s">
        <v>275</v>
      </c>
      <c r="D56" s="20">
        <v>0.14753064925263543</v>
      </c>
      <c r="E56" s="20">
        <v>5.2575023063972305E-2</v>
      </c>
      <c r="F56" s="20">
        <v>4.9999999988103047E-2</v>
      </c>
      <c r="G56" s="20">
        <v>1.546366534991013E-2</v>
      </c>
      <c r="H56" s="20"/>
      <c r="I56" s="20">
        <v>5.8983921701299853E-3</v>
      </c>
      <c r="J56" s="20">
        <v>2.3593568680519952E-2</v>
      </c>
      <c r="K56" s="21">
        <v>0.14753064925263532</v>
      </c>
      <c r="L56" s="21">
        <v>5.2575023063972305E-2</v>
      </c>
      <c r="M56" s="21"/>
      <c r="N56" s="21">
        <v>3.2662475213266026E-2</v>
      </c>
      <c r="O56" s="21"/>
      <c r="P56" s="21">
        <v>1.2458630195079395E-2</v>
      </c>
      <c r="Q56" s="21">
        <v>4.9834520780317602E-2</v>
      </c>
    </row>
    <row r="57" spans="1:17" outlineLevel="1" x14ac:dyDescent="0.2">
      <c r="A57" t="s">
        <v>276</v>
      </c>
      <c r="B57" t="s">
        <v>277</v>
      </c>
      <c r="C57" t="s">
        <v>278</v>
      </c>
      <c r="D57" s="20">
        <v>0.18753064925263546</v>
      </c>
      <c r="E57" s="20">
        <v>5.2575023063972312E-2</v>
      </c>
      <c r="F57" s="20">
        <v>4.9999999988103047E-2</v>
      </c>
      <c r="G57" s="20">
        <v>2.9222713243868714E-2</v>
      </c>
      <c r="H57" s="20"/>
      <c r="I57" s="20">
        <v>1.114658259133827E-2</v>
      </c>
      <c r="J57" s="20">
        <v>4.4586330365353102E-2</v>
      </c>
      <c r="K57" s="21">
        <v>0.18753064925263541</v>
      </c>
      <c r="L57" s="21">
        <v>5.2575023063972312E-2</v>
      </c>
      <c r="M57" s="21"/>
      <c r="N57" s="21">
        <v>4.6421523107224617E-2</v>
      </c>
      <c r="O57" s="21"/>
      <c r="P57" s="21">
        <v>1.7706820616287686E-2</v>
      </c>
      <c r="Q57" s="21">
        <v>7.082728246515077E-2</v>
      </c>
    </row>
    <row r="58" spans="1:17" outlineLevel="1" x14ac:dyDescent="0.2">
      <c r="A58" t="s">
        <v>279</v>
      </c>
      <c r="B58" t="s">
        <v>280</v>
      </c>
      <c r="C58" t="s">
        <v>281</v>
      </c>
      <c r="D58" s="20">
        <v>0.18753064925263543</v>
      </c>
      <c r="E58" s="20">
        <v>5.2575023063972312E-2</v>
      </c>
      <c r="F58" s="20">
        <v>4.9999999988103054E-2</v>
      </c>
      <c r="G58" s="20">
        <v>2.9222713243868707E-2</v>
      </c>
      <c r="H58" s="20"/>
      <c r="I58" s="20">
        <v>1.114658259133827E-2</v>
      </c>
      <c r="J58" s="20">
        <v>4.4586330365353095E-2</v>
      </c>
      <c r="K58" s="21">
        <v>0.18753064925263543</v>
      </c>
      <c r="L58" s="21">
        <v>5.2575023063972305E-2</v>
      </c>
      <c r="M58" s="21"/>
      <c r="N58" s="21">
        <v>4.6421523107224624E-2</v>
      </c>
      <c r="O58" s="21"/>
      <c r="P58" s="21">
        <v>1.7706820616287693E-2</v>
      </c>
      <c r="Q58" s="21">
        <v>7.0827282465150812E-2</v>
      </c>
    </row>
    <row r="59" spans="1:17" outlineLevel="1" x14ac:dyDescent="0.2">
      <c r="A59" t="s">
        <v>282</v>
      </c>
      <c r="B59" t="s">
        <v>283</v>
      </c>
      <c r="C59" t="s">
        <v>284</v>
      </c>
      <c r="D59" s="20">
        <v>0.18753064925263541</v>
      </c>
      <c r="E59" s="20">
        <v>5.2575023063972312E-2</v>
      </c>
      <c r="F59" s="20">
        <v>4.9999999988103054E-2</v>
      </c>
      <c r="G59" s="20">
        <v>2.9222713243868693E-2</v>
      </c>
      <c r="H59" s="20"/>
      <c r="I59" s="20">
        <v>1.1146582591338265E-2</v>
      </c>
      <c r="J59" s="20">
        <v>4.4586330365353082E-2</v>
      </c>
      <c r="K59" s="21">
        <v>0.18753064925263538</v>
      </c>
      <c r="L59" s="21">
        <v>5.2575023063972312E-2</v>
      </c>
      <c r="M59" s="21"/>
      <c r="N59" s="21">
        <v>4.6421523107224603E-2</v>
      </c>
      <c r="O59" s="21"/>
      <c r="P59" s="21">
        <v>1.7706820616287686E-2</v>
      </c>
      <c r="Q59" s="21">
        <v>7.082728246515077E-2</v>
      </c>
    </row>
    <row r="60" spans="1:17" outlineLevel="1" x14ac:dyDescent="0.2">
      <c r="A60" t="s">
        <v>285</v>
      </c>
      <c r="B60" t="s">
        <v>286</v>
      </c>
      <c r="C60" t="s">
        <v>287</v>
      </c>
      <c r="D60" s="20">
        <v>0.18753064925263541</v>
      </c>
      <c r="E60" s="20">
        <v>5.2575023063972312E-2</v>
      </c>
      <c r="F60" s="20">
        <v>4.9999999988103047E-2</v>
      </c>
      <c r="G60" s="20">
        <v>2.9222713243868693E-2</v>
      </c>
      <c r="H60" s="20"/>
      <c r="I60" s="20">
        <v>1.1146582591338265E-2</v>
      </c>
      <c r="J60" s="20">
        <v>4.4586330365353082E-2</v>
      </c>
      <c r="K60" s="21">
        <v>0.18753064925263538</v>
      </c>
      <c r="L60" s="21">
        <v>5.2575023063972312E-2</v>
      </c>
      <c r="M60" s="21"/>
      <c r="N60" s="21">
        <v>4.6421523107224617E-2</v>
      </c>
      <c r="O60" s="21"/>
      <c r="P60" s="21">
        <v>1.7706820616287689E-2</v>
      </c>
      <c r="Q60" s="21">
        <v>7.0827282465150784E-2</v>
      </c>
    </row>
    <row r="61" spans="1:17" outlineLevel="1" x14ac:dyDescent="0.2">
      <c r="A61" t="s">
        <v>288</v>
      </c>
      <c r="B61" t="s">
        <v>289</v>
      </c>
      <c r="C61" t="s">
        <v>290</v>
      </c>
      <c r="D61" s="20">
        <v>0.14753064925263543</v>
      </c>
      <c r="E61" s="20">
        <v>5.2575023063972312E-2</v>
      </c>
      <c r="F61" s="20">
        <v>4.9999999988103054E-2</v>
      </c>
      <c r="G61" s="20">
        <v>1.5463665349910121E-2</v>
      </c>
      <c r="H61" s="20"/>
      <c r="I61" s="20">
        <v>5.8983921701299836E-3</v>
      </c>
      <c r="J61" s="20">
        <v>2.3593568680519945E-2</v>
      </c>
      <c r="K61" s="21">
        <v>0.1475306492526354</v>
      </c>
      <c r="L61" s="21">
        <v>5.2575023063972319E-2</v>
      </c>
      <c r="M61" s="21"/>
      <c r="N61" s="21">
        <v>3.266247521326604E-2</v>
      </c>
      <c r="O61" s="21"/>
      <c r="P61" s="21">
        <v>1.2458630195079401E-2</v>
      </c>
      <c r="Q61" s="21">
        <v>4.9834520780317623E-2</v>
      </c>
    </row>
    <row r="62" spans="1:17" outlineLevel="1" x14ac:dyDescent="0.2">
      <c r="A62" t="s">
        <v>291</v>
      </c>
      <c r="B62" t="s">
        <v>292</v>
      </c>
      <c r="C62" t="s">
        <v>293</v>
      </c>
      <c r="D62" s="20">
        <v>0.18753064925263546</v>
      </c>
      <c r="E62" s="20">
        <v>5.2575023063972312E-2</v>
      </c>
      <c r="F62" s="20">
        <v>4.9999999988103061E-2</v>
      </c>
      <c r="G62" s="20">
        <v>2.9222713243868718E-2</v>
      </c>
      <c r="H62" s="20"/>
      <c r="I62" s="20">
        <v>1.1146582591338276E-2</v>
      </c>
      <c r="J62" s="20">
        <v>4.4586330365353123E-2</v>
      </c>
      <c r="K62" s="21">
        <v>0.18753064925263541</v>
      </c>
      <c r="L62" s="21">
        <v>5.2575023063972312E-2</v>
      </c>
      <c r="M62" s="21"/>
      <c r="N62" s="21">
        <v>4.642152310722461E-2</v>
      </c>
      <c r="O62" s="21"/>
      <c r="P62" s="21">
        <v>1.7706820616287689E-2</v>
      </c>
      <c r="Q62" s="21">
        <v>7.0827282465150798E-2</v>
      </c>
    </row>
    <row r="63" spans="1:17" outlineLevel="1" x14ac:dyDescent="0.2">
      <c r="A63" t="s">
        <v>294</v>
      </c>
      <c r="B63" t="s">
        <v>295</v>
      </c>
      <c r="C63" t="s">
        <v>296</v>
      </c>
      <c r="D63" s="20">
        <v>2.7530649252635337E-2</v>
      </c>
      <c r="E63" s="20">
        <v>5.2575023063972305E-2</v>
      </c>
      <c r="F63" s="20">
        <v>4.9999999988103054E-2</v>
      </c>
      <c r="G63" s="20">
        <v>-2.581347833196564E-2</v>
      </c>
      <c r="H63" s="20"/>
      <c r="I63" s="20">
        <v>-9.8461790934948716E-3</v>
      </c>
      <c r="J63" s="20">
        <v>-3.9384716373979521E-2</v>
      </c>
      <c r="K63" s="21">
        <v>2.7530649252635441E-2</v>
      </c>
      <c r="L63" s="21">
        <v>5.2575023063972312E-2</v>
      </c>
      <c r="M63" s="21"/>
      <c r="N63" s="21">
        <v>-8.6146684686096431E-3</v>
      </c>
      <c r="O63" s="21"/>
      <c r="P63" s="21">
        <v>-3.285941068545445E-3</v>
      </c>
      <c r="Q63" s="21">
        <v>-1.3143764274181785E-2</v>
      </c>
    </row>
    <row r="64" spans="1:17" outlineLevel="1" x14ac:dyDescent="0.2">
      <c r="B64" t="s">
        <v>297</v>
      </c>
      <c r="C64" t="s">
        <v>298</v>
      </c>
      <c r="D64" s="20"/>
      <c r="E64" s="20"/>
      <c r="F64" s="20"/>
      <c r="G64" s="20"/>
      <c r="H64" s="20"/>
      <c r="I64" s="20"/>
      <c r="J64" s="20"/>
      <c r="K64" s="21">
        <v>0.14753064925263543</v>
      </c>
      <c r="L64" s="21">
        <v>5.2575023063972312E-2</v>
      </c>
      <c r="M64" s="21"/>
      <c r="N64" s="21">
        <v>3.2662475213266054E-2</v>
      </c>
      <c r="O64" s="21"/>
      <c r="P64" s="21">
        <v>1.2458630195079406E-2</v>
      </c>
      <c r="Q64" s="21">
        <v>4.9834520780317651E-2</v>
      </c>
    </row>
    <row r="65" spans="1:17" outlineLevel="1" x14ac:dyDescent="0.2">
      <c r="B65" t="s">
        <v>299</v>
      </c>
      <c r="C65" t="s">
        <v>300</v>
      </c>
      <c r="D65" s="20"/>
      <c r="E65" s="20"/>
      <c r="F65" s="20"/>
      <c r="G65" s="20"/>
      <c r="H65" s="20"/>
      <c r="I65" s="20"/>
      <c r="J65" s="20"/>
      <c r="K65" s="21">
        <v>0.18753064925263541</v>
      </c>
      <c r="L65" s="21">
        <v>5.2575023063972312E-2</v>
      </c>
      <c r="M65" s="21"/>
      <c r="N65" s="21">
        <v>4.642152310722461E-2</v>
      </c>
      <c r="O65" s="21"/>
      <c r="P65" s="21">
        <v>1.7706820616287693E-2</v>
      </c>
      <c r="Q65" s="21">
        <v>7.0827282465150798E-2</v>
      </c>
    </row>
    <row r="66" spans="1:17" outlineLevel="1" x14ac:dyDescent="0.2">
      <c r="A66" t="s">
        <v>301</v>
      </c>
      <c r="B66" t="s">
        <v>302</v>
      </c>
      <c r="C66" t="s">
        <v>303</v>
      </c>
      <c r="D66" s="20">
        <v>0.18753064925263538</v>
      </c>
      <c r="E66" s="20">
        <v>5.2575023063972312E-2</v>
      </c>
      <c r="F66" s="20">
        <v>4.9999999988103054E-2</v>
      </c>
      <c r="G66" s="20">
        <v>2.9222713243868683E-2</v>
      </c>
      <c r="H66" s="20"/>
      <c r="I66" s="20">
        <v>1.1146582591338262E-2</v>
      </c>
      <c r="J66" s="20">
        <v>4.4586330365353061E-2</v>
      </c>
      <c r="K66" s="21">
        <v>0.16753064925263536</v>
      </c>
      <c r="L66" s="21">
        <v>5.2575023063972312E-2</v>
      </c>
      <c r="M66" s="21"/>
      <c r="N66" s="21">
        <v>3.9541999160245318E-2</v>
      </c>
      <c r="O66" s="21"/>
      <c r="P66" s="21">
        <v>1.5082725405683539E-2</v>
      </c>
      <c r="Q66" s="21">
        <v>6.0330901622734197E-2</v>
      </c>
    </row>
    <row r="67" spans="1:17" outlineLevel="1" x14ac:dyDescent="0.2">
      <c r="A67" t="s">
        <v>304</v>
      </c>
      <c r="B67" t="s">
        <v>305</v>
      </c>
      <c r="C67" t="s">
        <v>306</v>
      </c>
      <c r="D67" s="20">
        <v>2.7530649252635393E-2</v>
      </c>
      <c r="E67" s="20">
        <v>5.2575023063972312E-2</v>
      </c>
      <c r="F67" s="20">
        <v>4.9999999988103054E-2</v>
      </c>
      <c r="G67" s="20">
        <v>-2.5813478331965622E-2</v>
      </c>
      <c r="H67" s="20"/>
      <c r="I67" s="20">
        <v>-9.8461790934948664E-3</v>
      </c>
      <c r="J67" s="20">
        <v>-3.9384716373979479E-2</v>
      </c>
      <c r="K67" s="21">
        <v>2.7530649252635441E-2</v>
      </c>
      <c r="L67" s="21">
        <v>5.2575023063972312E-2</v>
      </c>
      <c r="M67" s="21"/>
      <c r="N67" s="21">
        <v>-8.6146684686096413E-3</v>
      </c>
      <c r="O67" s="21"/>
      <c r="P67" s="21">
        <v>-3.285941068545445E-3</v>
      </c>
      <c r="Q67" s="21">
        <v>-1.3143764274181789E-2</v>
      </c>
    </row>
    <row r="68" spans="1:17" outlineLevel="1" x14ac:dyDescent="0.2">
      <c r="A68" t="s">
        <v>307</v>
      </c>
      <c r="B68" t="s">
        <v>308</v>
      </c>
      <c r="C68" t="s">
        <v>309</v>
      </c>
      <c r="D68" s="20">
        <v>2.7530649252635347E-2</v>
      </c>
      <c r="E68" s="20">
        <v>5.2575023063972305E-2</v>
      </c>
      <c r="F68" s="20">
        <v>4.9999999988103047E-2</v>
      </c>
      <c r="G68" s="20">
        <v>-2.5813478331965633E-2</v>
      </c>
      <c r="H68" s="20"/>
      <c r="I68" s="20">
        <v>-9.8461790934948733E-3</v>
      </c>
      <c r="J68" s="20">
        <v>-3.9384716373979507E-2</v>
      </c>
      <c r="K68" s="21">
        <v>2.7530649252635396E-2</v>
      </c>
      <c r="L68" s="21">
        <v>5.2575023063972305E-2</v>
      </c>
      <c r="M68" s="21"/>
      <c r="N68" s="21">
        <v>-8.6146684686096552E-3</v>
      </c>
      <c r="O68" s="21"/>
      <c r="P68" s="21">
        <v>-3.2859410685454507E-3</v>
      </c>
      <c r="Q68" s="21">
        <v>-1.3143764274181808E-2</v>
      </c>
    </row>
    <row r="69" spans="1:17" outlineLevel="1" x14ac:dyDescent="0.2">
      <c r="A69" t="s">
        <v>310</v>
      </c>
      <c r="B69" t="s">
        <v>311</v>
      </c>
      <c r="C69" t="s">
        <v>312</v>
      </c>
      <c r="D69" s="20">
        <v>2.7530649252635323E-2</v>
      </c>
      <c r="E69" s="20">
        <v>5.2575023063972312E-2</v>
      </c>
      <c r="F69" s="20">
        <v>4.9999999988103054E-2</v>
      </c>
      <c r="G69" s="20">
        <v>-2.5813478331965643E-2</v>
      </c>
      <c r="H69" s="20"/>
      <c r="I69" s="20">
        <v>-9.8461790934948768E-3</v>
      </c>
      <c r="J69" s="20">
        <v>-3.9384716373979521E-2</v>
      </c>
      <c r="K69" s="21">
        <v>2.7530649252635434E-2</v>
      </c>
      <c r="L69" s="21">
        <v>5.2575023063972305E-2</v>
      </c>
      <c r="M69" s="21"/>
      <c r="N69" s="21">
        <v>-8.6146684686096413E-3</v>
      </c>
      <c r="O69" s="21"/>
      <c r="P69" s="21">
        <v>-3.2859410685454442E-3</v>
      </c>
      <c r="Q69" s="21">
        <v>-1.3143764274181784E-2</v>
      </c>
    </row>
    <row r="70" spans="1:17" outlineLevel="1" x14ac:dyDescent="0.2">
      <c r="A70" t="s">
        <v>313</v>
      </c>
      <c r="B70" t="s">
        <v>314</v>
      </c>
      <c r="C70" t="s">
        <v>315</v>
      </c>
      <c r="D70" s="20">
        <v>0.1475306492526354</v>
      </c>
      <c r="E70" s="20">
        <v>5.2575023063972312E-2</v>
      </c>
      <c r="F70" s="20">
        <v>4.9999999988103054E-2</v>
      </c>
      <c r="G70" s="20">
        <v>1.546366534991012E-2</v>
      </c>
      <c r="H70" s="20"/>
      <c r="I70" s="20">
        <v>5.8983921701299827E-3</v>
      </c>
      <c r="J70" s="20">
        <v>2.3593568680519945E-2</v>
      </c>
      <c r="K70" s="21">
        <v>0.1475306492526354</v>
      </c>
      <c r="L70" s="21">
        <v>5.2575023063972312E-2</v>
      </c>
      <c r="M70" s="21"/>
      <c r="N70" s="21">
        <v>3.2662475213266047E-2</v>
      </c>
      <c r="O70" s="21"/>
      <c r="P70" s="21">
        <v>1.2458630195079402E-2</v>
      </c>
      <c r="Q70" s="21">
        <v>4.9834520780317637E-2</v>
      </c>
    </row>
    <row r="71" spans="1:17" outlineLevel="1" x14ac:dyDescent="0.2">
      <c r="A71" t="s">
        <v>316</v>
      </c>
      <c r="B71" t="s">
        <v>317</v>
      </c>
      <c r="C71" t="s">
        <v>318</v>
      </c>
      <c r="D71" s="20">
        <v>0.14753064925263534</v>
      </c>
      <c r="E71" s="20">
        <v>5.2575023063972319E-2</v>
      </c>
      <c r="F71" s="20">
        <v>4.9999999988103047E-2</v>
      </c>
      <c r="G71" s="20">
        <v>1.5463665349910101E-2</v>
      </c>
      <c r="H71" s="20"/>
      <c r="I71" s="20">
        <v>5.8983921701299758E-3</v>
      </c>
      <c r="J71" s="20">
        <v>2.3593568680519917E-2</v>
      </c>
      <c r="K71" s="21">
        <v>0.14753064925263543</v>
      </c>
      <c r="L71" s="21">
        <v>5.2575023063972305E-2</v>
      </c>
      <c r="M71" s="21"/>
      <c r="N71" s="21">
        <v>3.2662475213266061E-2</v>
      </c>
      <c r="O71" s="21"/>
      <c r="P71" s="21">
        <v>1.2458630195079409E-2</v>
      </c>
      <c r="Q71" s="21">
        <v>4.9834520780317658E-2</v>
      </c>
    </row>
    <row r="72" spans="1:17" outlineLevel="1" x14ac:dyDescent="0.2">
      <c r="A72" t="s">
        <v>319</v>
      </c>
      <c r="B72" t="s">
        <v>320</v>
      </c>
      <c r="C72" t="s">
        <v>321</v>
      </c>
      <c r="D72" s="20">
        <v>0.1475306492526354</v>
      </c>
      <c r="E72" s="20">
        <v>5.2575023063972312E-2</v>
      </c>
      <c r="F72" s="20">
        <v>4.9999999988103047E-2</v>
      </c>
      <c r="G72" s="20">
        <v>1.5463665349910116E-2</v>
      </c>
      <c r="H72" s="20"/>
      <c r="I72" s="20">
        <v>5.8983921701299827E-3</v>
      </c>
      <c r="J72" s="20">
        <v>2.3593568680519941E-2</v>
      </c>
      <c r="K72" s="21">
        <v>0.1475306492526354</v>
      </c>
      <c r="L72" s="21">
        <v>5.2575023063972312E-2</v>
      </c>
      <c r="M72" s="21"/>
      <c r="N72" s="21">
        <v>3.2662475213266047E-2</v>
      </c>
      <c r="O72" s="21"/>
      <c r="P72" s="21">
        <v>1.2458630195079404E-2</v>
      </c>
      <c r="Q72" s="21">
        <v>4.9834520780317644E-2</v>
      </c>
    </row>
    <row r="73" spans="1:17" outlineLevel="1" x14ac:dyDescent="0.2">
      <c r="A73" t="s">
        <v>322</v>
      </c>
      <c r="B73" t="s">
        <v>323</v>
      </c>
      <c r="C73" t="s">
        <v>75</v>
      </c>
      <c r="D73" s="20">
        <v>0.18753064925263546</v>
      </c>
      <c r="E73" s="20">
        <v>5.2575023063972312E-2</v>
      </c>
      <c r="F73" s="20">
        <v>4.9999999988103054E-2</v>
      </c>
      <c r="G73" s="20">
        <v>2.9222713243868711E-2</v>
      </c>
      <c r="H73" s="20"/>
      <c r="I73" s="20">
        <v>1.114658259133827E-2</v>
      </c>
      <c r="J73" s="20">
        <v>4.4586330365353109E-2</v>
      </c>
      <c r="K73" s="21">
        <v>0.18753064925263535</v>
      </c>
      <c r="L73" s="21">
        <v>5.2575023063972305E-2</v>
      </c>
      <c r="M73" s="21"/>
      <c r="N73" s="21">
        <v>4.642152310722459E-2</v>
      </c>
      <c r="O73" s="21"/>
      <c r="P73" s="21">
        <v>1.7706820616287682E-2</v>
      </c>
      <c r="Q73" s="21">
        <v>7.0827282465150757E-2</v>
      </c>
    </row>
    <row r="74" spans="1:17" outlineLevel="1" x14ac:dyDescent="0.2">
      <c r="A74" t="s">
        <v>324</v>
      </c>
      <c r="B74" t="s">
        <v>325</v>
      </c>
      <c r="C74" t="s">
        <v>326</v>
      </c>
      <c r="D74" s="20">
        <v>0.18753064925263538</v>
      </c>
      <c r="E74" s="20">
        <v>5.2575023063972305E-2</v>
      </c>
      <c r="F74" s="20">
        <v>4.9999999988103054E-2</v>
      </c>
      <c r="G74" s="20">
        <v>2.922271324386869E-2</v>
      </c>
      <c r="H74" s="20"/>
      <c r="I74" s="20">
        <v>1.1146582591338263E-2</v>
      </c>
      <c r="J74" s="20">
        <v>4.4586330365353075E-2</v>
      </c>
      <c r="K74" s="21">
        <v>0.18753064925263535</v>
      </c>
      <c r="L74" s="21">
        <v>5.2575023063972312E-2</v>
      </c>
      <c r="M74" s="21"/>
      <c r="N74" s="21">
        <v>4.6421523107224597E-2</v>
      </c>
      <c r="O74" s="21"/>
      <c r="P74" s="21">
        <v>1.7706820616287686E-2</v>
      </c>
      <c r="Q74" s="21">
        <v>7.082728246515077E-2</v>
      </c>
    </row>
    <row r="75" spans="1:17" outlineLevel="1" x14ac:dyDescent="0.2">
      <c r="A75" t="s">
        <v>327</v>
      </c>
      <c r="B75" t="s">
        <v>328</v>
      </c>
      <c r="C75" t="s">
        <v>329</v>
      </c>
      <c r="D75" s="20">
        <v>0.18753064925263538</v>
      </c>
      <c r="E75" s="20">
        <v>5.2575023063972312E-2</v>
      </c>
      <c r="F75" s="20">
        <v>4.9999999988103047E-2</v>
      </c>
      <c r="G75" s="20">
        <v>2.922271324386869E-2</v>
      </c>
      <c r="H75" s="20"/>
      <c r="I75" s="20">
        <v>1.1146582591338263E-2</v>
      </c>
      <c r="J75" s="20">
        <v>4.4586330365353075E-2</v>
      </c>
      <c r="K75" s="21">
        <v>0.18753064925263538</v>
      </c>
      <c r="L75" s="21">
        <v>5.2575023063972312E-2</v>
      </c>
      <c r="M75" s="21"/>
      <c r="N75" s="21">
        <v>4.6421523107224597E-2</v>
      </c>
      <c r="O75" s="21"/>
      <c r="P75" s="21">
        <v>1.7706820616287686E-2</v>
      </c>
      <c r="Q75" s="21">
        <v>7.082728246515077E-2</v>
      </c>
    </row>
    <row r="76" spans="1:17" outlineLevel="1" x14ac:dyDescent="0.2">
      <c r="A76" t="s">
        <v>330</v>
      </c>
      <c r="B76" t="s">
        <v>331</v>
      </c>
      <c r="C76" t="s">
        <v>332</v>
      </c>
      <c r="D76" s="20">
        <v>0.18753064925263543</v>
      </c>
      <c r="E76" s="20">
        <v>5.2575023063972312E-2</v>
      </c>
      <c r="F76" s="20">
        <v>4.9999999988103054E-2</v>
      </c>
      <c r="G76" s="20">
        <v>2.9222713243868704E-2</v>
      </c>
      <c r="H76" s="20"/>
      <c r="I76" s="20">
        <v>1.114658259133827E-2</v>
      </c>
      <c r="J76" s="20">
        <v>4.4586330365353102E-2</v>
      </c>
      <c r="K76" s="21">
        <v>0.18753064925263538</v>
      </c>
      <c r="L76" s="21">
        <v>5.2575023063972305E-2</v>
      </c>
      <c r="M76" s="21"/>
      <c r="N76" s="21">
        <v>4.6421523107224603E-2</v>
      </c>
      <c r="O76" s="21"/>
      <c r="P76" s="21">
        <v>1.7706820616287686E-2</v>
      </c>
      <c r="Q76" s="21">
        <v>7.0827282465150784E-2</v>
      </c>
    </row>
    <row r="77" spans="1:17" outlineLevel="1" x14ac:dyDescent="0.2">
      <c r="A77" t="s">
        <v>333</v>
      </c>
      <c r="B77" t="s">
        <v>334</v>
      </c>
      <c r="C77" t="s">
        <v>335</v>
      </c>
      <c r="D77" s="20">
        <v>0.18753064925263541</v>
      </c>
      <c r="E77" s="20">
        <v>5.2575023063972305E-2</v>
      </c>
      <c r="F77" s="20">
        <v>4.9999999988103047E-2</v>
      </c>
      <c r="G77" s="20">
        <v>2.9222713243868704E-2</v>
      </c>
      <c r="H77" s="20"/>
      <c r="I77" s="20">
        <v>1.1146582591338269E-2</v>
      </c>
      <c r="J77" s="20">
        <v>4.4586330365353095E-2</v>
      </c>
      <c r="K77" s="21">
        <v>0.18753064925263538</v>
      </c>
      <c r="L77" s="21">
        <v>5.2575023063972312E-2</v>
      </c>
      <c r="M77" s="21"/>
      <c r="N77" s="21">
        <v>4.642152310722461E-2</v>
      </c>
      <c r="O77" s="21"/>
      <c r="P77" s="21">
        <v>1.7706820616287686E-2</v>
      </c>
      <c r="Q77" s="21">
        <v>7.082728246515077E-2</v>
      </c>
    </row>
    <row r="78" spans="1:17" outlineLevel="1" x14ac:dyDescent="0.2">
      <c r="A78" t="s">
        <v>336</v>
      </c>
      <c r="B78" t="s">
        <v>337</v>
      </c>
      <c r="C78" t="s">
        <v>338</v>
      </c>
      <c r="D78" s="20">
        <v>0.18753064925263543</v>
      </c>
      <c r="E78" s="20">
        <v>5.2575023063972312E-2</v>
      </c>
      <c r="F78" s="20">
        <v>4.9999999988103054E-2</v>
      </c>
      <c r="G78" s="20">
        <v>2.9222713243868704E-2</v>
      </c>
      <c r="H78" s="20"/>
      <c r="I78" s="20">
        <v>1.1146582591338269E-2</v>
      </c>
      <c r="J78" s="20">
        <v>4.4586330365353095E-2</v>
      </c>
      <c r="K78" s="21">
        <v>0.18753064925263538</v>
      </c>
      <c r="L78" s="21">
        <v>5.2575023063972312E-2</v>
      </c>
      <c r="M78" s="21"/>
      <c r="N78" s="21">
        <v>4.6421523107224603E-2</v>
      </c>
      <c r="O78" s="21"/>
      <c r="P78" s="21">
        <v>1.7706820616287689E-2</v>
      </c>
      <c r="Q78" s="21">
        <v>7.0827282465150784E-2</v>
      </c>
    </row>
    <row r="79" spans="1:17" outlineLevel="1" x14ac:dyDescent="0.2">
      <c r="A79" t="s">
        <v>339</v>
      </c>
      <c r="B79" t="s">
        <v>340</v>
      </c>
      <c r="C79" t="s">
        <v>341</v>
      </c>
      <c r="D79" s="20">
        <v>0.18753064925263549</v>
      </c>
      <c r="E79" s="20">
        <v>5.2575023063972312E-2</v>
      </c>
      <c r="F79" s="20">
        <v>4.9999999988103054E-2</v>
      </c>
      <c r="G79" s="20">
        <v>2.9222713243868728E-2</v>
      </c>
      <c r="H79" s="20"/>
      <c r="I79" s="20">
        <v>1.1146582591338274E-2</v>
      </c>
      <c r="J79" s="20">
        <v>4.4586330365353123E-2</v>
      </c>
      <c r="K79" s="21">
        <v>0.18753064925263541</v>
      </c>
      <c r="L79" s="21">
        <v>5.2575023063972305E-2</v>
      </c>
      <c r="M79" s="21"/>
      <c r="N79" s="21">
        <v>4.642152310722461E-2</v>
      </c>
      <c r="O79" s="21"/>
      <c r="P79" s="21">
        <v>1.7706820616287689E-2</v>
      </c>
      <c r="Q79" s="21">
        <v>7.0827282465150798E-2</v>
      </c>
    </row>
    <row r="80" spans="1:17" outlineLevel="1" x14ac:dyDescent="0.2">
      <c r="A80" t="s">
        <v>342</v>
      </c>
      <c r="B80" t="s">
        <v>343</v>
      </c>
      <c r="C80" t="s">
        <v>344</v>
      </c>
      <c r="D80" s="20">
        <v>0.18753064925263546</v>
      </c>
      <c r="E80" s="20">
        <v>5.2575023063972312E-2</v>
      </c>
      <c r="F80" s="20">
        <v>4.9999999988103054E-2</v>
      </c>
      <c r="G80" s="20">
        <v>2.9222713243868707E-2</v>
      </c>
      <c r="H80" s="20"/>
      <c r="I80" s="20">
        <v>1.1146582591338272E-2</v>
      </c>
      <c r="J80" s="20">
        <v>4.4586330365353102E-2</v>
      </c>
      <c r="K80" s="21">
        <v>0.18753064925263549</v>
      </c>
      <c r="L80" s="21">
        <v>5.2575023063972312E-2</v>
      </c>
      <c r="M80" s="21"/>
      <c r="N80" s="21">
        <v>4.6421523107224645E-2</v>
      </c>
      <c r="O80" s="21"/>
      <c r="P80" s="21">
        <v>1.7706820616287703E-2</v>
      </c>
      <c r="Q80" s="21">
        <v>7.082728246515084E-2</v>
      </c>
    </row>
    <row r="81" spans="1:17" outlineLevel="1" x14ac:dyDescent="0.2">
      <c r="A81" t="s">
        <v>345</v>
      </c>
      <c r="B81" t="s">
        <v>346</v>
      </c>
      <c r="C81" t="s">
        <v>347</v>
      </c>
      <c r="D81" s="20">
        <v>0.18753064925263546</v>
      </c>
      <c r="E81" s="20">
        <v>5.2575023063972312E-2</v>
      </c>
      <c r="F81" s="20">
        <v>4.9999999988103054E-2</v>
      </c>
      <c r="G81" s="20">
        <v>2.9222713243868714E-2</v>
      </c>
      <c r="H81" s="20"/>
      <c r="I81" s="20">
        <v>1.1146582591338272E-2</v>
      </c>
      <c r="J81" s="20">
        <v>4.4586330365353109E-2</v>
      </c>
      <c r="K81" s="21">
        <v>0.18753064925263546</v>
      </c>
      <c r="L81" s="21">
        <v>5.2575023063972312E-2</v>
      </c>
      <c r="M81" s="21"/>
      <c r="N81" s="21">
        <v>4.6421523107224631E-2</v>
      </c>
      <c r="O81" s="21"/>
      <c r="P81" s="21">
        <v>1.7706820616287693E-2</v>
      </c>
      <c r="Q81" s="21">
        <v>7.0827282465150812E-2</v>
      </c>
    </row>
    <row r="82" spans="1:17" outlineLevel="1" x14ac:dyDescent="0.2">
      <c r="A82" t="s">
        <v>348</v>
      </c>
      <c r="B82" t="s">
        <v>349</v>
      </c>
      <c r="C82" t="s">
        <v>350</v>
      </c>
      <c r="D82" s="20">
        <v>0.18753064925263546</v>
      </c>
      <c r="E82" s="20">
        <v>5.2575023063972312E-2</v>
      </c>
      <c r="F82" s="20">
        <v>4.9999999988103047E-2</v>
      </c>
      <c r="G82" s="20">
        <v>2.9222713243868725E-2</v>
      </c>
      <c r="H82" s="20"/>
      <c r="I82" s="20">
        <v>1.1146582591338274E-2</v>
      </c>
      <c r="J82" s="20">
        <v>4.4586330365353116E-2</v>
      </c>
      <c r="K82" s="21">
        <v>0.18753064925263546</v>
      </c>
      <c r="L82" s="21">
        <v>5.2575023063972312E-2</v>
      </c>
      <c r="M82" s="21"/>
      <c r="N82" s="21">
        <v>4.6421523107224631E-2</v>
      </c>
      <c r="O82" s="21"/>
      <c r="P82" s="21">
        <v>1.7706820616287696E-2</v>
      </c>
      <c r="Q82" s="21">
        <v>7.0827282465150826E-2</v>
      </c>
    </row>
    <row r="83" spans="1:17" outlineLevel="1" x14ac:dyDescent="0.2">
      <c r="A83" t="s">
        <v>351</v>
      </c>
      <c r="B83" t="s">
        <v>352</v>
      </c>
      <c r="C83" t="s">
        <v>353</v>
      </c>
      <c r="D83" s="20">
        <v>0.18753064925263549</v>
      </c>
      <c r="E83" s="20">
        <v>5.2575023063972312E-2</v>
      </c>
      <c r="F83" s="20">
        <v>4.9999999988103054E-2</v>
      </c>
      <c r="G83" s="20">
        <v>2.9222713243868721E-2</v>
      </c>
      <c r="H83" s="20"/>
      <c r="I83" s="20">
        <v>1.1146582591338274E-2</v>
      </c>
      <c r="J83" s="20">
        <v>4.4586330365353116E-2</v>
      </c>
      <c r="K83" s="21">
        <v>0.18753064925263535</v>
      </c>
      <c r="L83" s="21">
        <v>5.2575023063972312E-2</v>
      </c>
      <c r="M83" s="21"/>
      <c r="N83" s="21">
        <v>4.6421523107224597E-2</v>
      </c>
      <c r="O83" s="21"/>
      <c r="P83" s="21">
        <v>1.7706820616287686E-2</v>
      </c>
      <c r="Q83" s="21">
        <v>7.082728246515077E-2</v>
      </c>
    </row>
    <row r="84" spans="1:17" outlineLevel="1" x14ac:dyDescent="0.2">
      <c r="A84" t="s">
        <v>354</v>
      </c>
      <c r="B84" t="s">
        <v>355</v>
      </c>
      <c r="C84" t="s">
        <v>356</v>
      </c>
      <c r="D84" s="20">
        <v>0.18753064925263538</v>
      </c>
      <c r="E84" s="20">
        <v>5.2575023063972312E-2</v>
      </c>
      <c r="F84" s="20">
        <v>4.9999999988103054E-2</v>
      </c>
      <c r="G84" s="20">
        <v>2.9222713243868687E-2</v>
      </c>
      <c r="H84" s="20"/>
      <c r="I84" s="20">
        <v>1.114658259133826E-2</v>
      </c>
      <c r="J84" s="20">
        <v>4.4586330365353068E-2</v>
      </c>
      <c r="K84" s="21">
        <v>0.18753064925263541</v>
      </c>
      <c r="L84" s="21">
        <v>5.2575023063972312E-2</v>
      </c>
      <c r="M84" s="21"/>
      <c r="N84" s="21">
        <v>4.6421523107224617E-2</v>
      </c>
      <c r="O84" s="21"/>
      <c r="P84" s="21">
        <v>1.7706820616287689E-2</v>
      </c>
      <c r="Q84" s="21">
        <v>7.0827282465150784E-2</v>
      </c>
    </row>
    <row r="85" spans="1:17" outlineLevel="1" x14ac:dyDescent="0.2">
      <c r="A85" t="s">
        <v>357</v>
      </c>
      <c r="B85" t="s">
        <v>358</v>
      </c>
      <c r="C85" t="s">
        <v>359</v>
      </c>
      <c r="D85" s="20">
        <v>0.18753064925263546</v>
      </c>
      <c r="E85" s="20">
        <v>5.2575023063972312E-2</v>
      </c>
      <c r="F85" s="20">
        <v>4.9999999988103054E-2</v>
      </c>
      <c r="G85" s="20">
        <v>2.9222713243868714E-2</v>
      </c>
      <c r="H85" s="20"/>
      <c r="I85" s="20">
        <v>1.1146582591338274E-2</v>
      </c>
      <c r="J85" s="20">
        <v>4.4586330365353116E-2</v>
      </c>
      <c r="K85" s="21">
        <v>0.18753064925263535</v>
      </c>
      <c r="L85" s="21">
        <v>5.2575023063972312E-2</v>
      </c>
      <c r="M85" s="21"/>
      <c r="N85" s="21">
        <v>4.6421523107224597E-2</v>
      </c>
      <c r="O85" s="21"/>
      <c r="P85" s="21">
        <v>1.7706820616287682E-2</v>
      </c>
      <c r="Q85" s="21">
        <v>7.0827282465150757E-2</v>
      </c>
    </row>
    <row r="86" spans="1:17" outlineLevel="1" x14ac:dyDescent="0.2">
      <c r="A86" t="s">
        <v>360</v>
      </c>
      <c r="B86" t="s">
        <v>361</v>
      </c>
      <c r="C86" t="s">
        <v>362</v>
      </c>
      <c r="D86" s="20">
        <v>0.18753064925263543</v>
      </c>
      <c r="E86" s="20">
        <v>5.2575023063972312E-2</v>
      </c>
      <c r="F86" s="20">
        <v>4.9999999988103047E-2</v>
      </c>
      <c r="G86" s="20">
        <v>2.9222713243868707E-2</v>
      </c>
      <c r="H86" s="20"/>
      <c r="I86" s="20">
        <v>1.1146582591338269E-2</v>
      </c>
      <c r="J86" s="20">
        <v>4.4586330365353095E-2</v>
      </c>
      <c r="K86" s="21">
        <v>0.18753064925263546</v>
      </c>
      <c r="L86" s="21">
        <v>5.2575023063972305E-2</v>
      </c>
      <c r="M86" s="21"/>
      <c r="N86" s="21">
        <v>4.6421523107224631E-2</v>
      </c>
      <c r="O86" s="21"/>
      <c r="P86" s="21">
        <v>1.7706820616287696E-2</v>
      </c>
      <c r="Q86" s="21">
        <v>7.0827282465150812E-2</v>
      </c>
    </row>
    <row r="87" spans="1:17" outlineLevel="1" x14ac:dyDescent="0.2">
      <c r="B87" t="s">
        <v>363</v>
      </c>
      <c r="C87" t="s">
        <v>364</v>
      </c>
      <c r="D87" s="20">
        <v>0.18753064925263546</v>
      </c>
      <c r="E87" s="20">
        <v>5.2575023063972305E-2</v>
      </c>
      <c r="F87" s="20">
        <v>4.9999999988103054E-2</v>
      </c>
      <c r="G87" s="20">
        <v>2.9222713243868711E-2</v>
      </c>
      <c r="H87" s="20"/>
      <c r="I87" s="20">
        <v>1.114658259133827E-2</v>
      </c>
      <c r="J87" s="20">
        <v>4.4586330365353102E-2</v>
      </c>
      <c r="K87" s="21">
        <v>0.18753064925263538</v>
      </c>
      <c r="L87" s="21">
        <v>5.2575023063972312E-2</v>
      </c>
      <c r="M87" s="21"/>
      <c r="N87" s="21">
        <v>4.6421523107224603E-2</v>
      </c>
      <c r="O87" s="21"/>
      <c r="P87" s="21">
        <v>1.7706820616287689E-2</v>
      </c>
      <c r="Q87" s="21">
        <v>7.0827282465150784E-2</v>
      </c>
    </row>
    <row r="88" spans="1:17" x14ac:dyDescent="0.2">
      <c r="K88" s="22"/>
      <c r="L88" s="22"/>
      <c r="M88" s="22"/>
      <c r="N88" s="22"/>
      <c r="O88" s="22"/>
      <c r="P88" s="22"/>
      <c r="Q88" s="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0"/>
  <sheetViews>
    <sheetView workbookViewId="0">
      <selection activeCell="A6" sqref="A6"/>
    </sheetView>
  </sheetViews>
  <sheetFormatPr defaultRowHeight="12.75" x14ac:dyDescent="0.2"/>
  <cols>
    <col min="1" max="1" width="23.7109375" bestFit="1" customWidth="1"/>
    <col min="2" max="2" width="12.42578125" customWidth="1"/>
  </cols>
  <sheetData>
    <row r="1" spans="1:6" ht="15" x14ac:dyDescent="0.25">
      <c r="A1" s="41" t="s">
        <v>150</v>
      </c>
      <c r="B1" s="51">
        <v>7.4999999999999997E-2</v>
      </c>
      <c r="C1" s="49"/>
      <c r="D1" s="40"/>
      <c r="E1" s="40"/>
      <c r="F1" s="40"/>
    </row>
    <row r="2" spans="1:6" ht="15" x14ac:dyDescent="0.25">
      <c r="A2" s="42" t="s">
        <v>63</v>
      </c>
      <c r="B2" s="43">
        <v>0.03</v>
      </c>
      <c r="C2" s="49"/>
      <c r="D2" s="40"/>
      <c r="E2" s="40"/>
      <c r="F2" s="40"/>
    </row>
    <row r="3" spans="1:6" ht="15" x14ac:dyDescent="0.25">
      <c r="A3" s="42" t="s">
        <v>155</v>
      </c>
      <c r="B3" s="43">
        <v>2.5000000000000001E-2</v>
      </c>
      <c r="C3" s="44"/>
      <c r="D3" s="40"/>
      <c r="E3" s="40"/>
      <c r="F3" s="40"/>
    </row>
    <row r="4" spans="1:6" ht="15" x14ac:dyDescent="0.25">
      <c r="A4" s="42" t="s">
        <v>157</v>
      </c>
      <c r="B4" s="43">
        <v>4.4999999999999998E-2</v>
      </c>
      <c r="C4" s="44"/>
      <c r="D4" s="40"/>
      <c r="E4" s="40"/>
      <c r="F4" s="40"/>
    </row>
    <row r="5" spans="1:6" ht="15" x14ac:dyDescent="0.25">
      <c r="A5" s="42" t="s">
        <v>374</v>
      </c>
      <c r="B5" s="43">
        <v>0.1</v>
      </c>
      <c r="C5" s="49"/>
      <c r="D5" s="40"/>
      <c r="E5" s="40"/>
      <c r="F5" s="40"/>
    </row>
    <row r="6" spans="1:6" x14ac:dyDescent="0.2">
      <c r="A6" s="52"/>
      <c r="B6" s="53"/>
      <c r="C6" s="50"/>
      <c r="D6" s="40"/>
      <c r="E6" s="40"/>
      <c r="F6" s="40"/>
    </row>
    <row r="7" spans="1:6" x14ac:dyDescent="0.2">
      <c r="A7" s="52"/>
      <c r="B7" s="53"/>
      <c r="C7" s="50"/>
      <c r="D7" s="40"/>
      <c r="E7" s="40"/>
      <c r="F7" s="40"/>
    </row>
    <row r="8" spans="1:6" ht="15" x14ac:dyDescent="0.25">
      <c r="A8" s="42"/>
      <c r="B8" s="43"/>
      <c r="C8" s="40"/>
      <c r="D8" s="40"/>
      <c r="E8" s="40"/>
      <c r="F8" s="40"/>
    </row>
    <row r="9" spans="1:6" ht="15.75" thickBot="1" x14ac:dyDescent="0.3">
      <c r="A9" s="45"/>
      <c r="B9" s="48"/>
      <c r="C9" s="40"/>
      <c r="D9" s="40"/>
      <c r="E9" s="40"/>
      <c r="F9" s="40"/>
    </row>
    <row r="10" spans="1:6" x14ac:dyDescent="0.2">
      <c r="A10" s="40"/>
      <c r="B10" s="40"/>
      <c r="C10" s="40"/>
      <c r="D10" s="40"/>
      <c r="E10" s="40"/>
      <c r="F10" s="40"/>
    </row>
    <row r="11" spans="1:6" x14ac:dyDescent="0.2">
      <c r="A11" s="40"/>
      <c r="B11" s="40"/>
      <c r="C11" s="40"/>
      <c r="D11" s="40"/>
      <c r="E11" s="40"/>
      <c r="F11" s="40"/>
    </row>
    <row r="12" spans="1:6" x14ac:dyDescent="0.2">
      <c r="A12" s="40"/>
      <c r="B12" s="40"/>
      <c r="C12" s="40"/>
      <c r="D12" s="40"/>
      <c r="E12" s="40"/>
      <c r="F12" s="40"/>
    </row>
    <row r="13" spans="1:6" x14ac:dyDescent="0.2">
      <c r="A13" s="40"/>
      <c r="B13" s="40"/>
      <c r="C13" s="40"/>
      <c r="D13" s="40"/>
      <c r="E13" s="40"/>
      <c r="F13" s="40"/>
    </row>
    <row r="14" spans="1:6" x14ac:dyDescent="0.2">
      <c r="A14" s="40"/>
      <c r="B14" s="40"/>
      <c r="C14" s="40"/>
      <c r="D14" s="40"/>
      <c r="E14" s="40"/>
      <c r="F14" s="40"/>
    </row>
    <row r="15" spans="1:6" x14ac:dyDescent="0.2">
      <c r="A15" s="40"/>
      <c r="B15" s="40"/>
      <c r="C15" s="40"/>
      <c r="D15" s="40"/>
      <c r="E15" s="40"/>
      <c r="F15" s="40"/>
    </row>
    <row r="16" spans="1:6" x14ac:dyDescent="0.2">
      <c r="A16" s="40"/>
      <c r="B16" s="40"/>
      <c r="C16" s="40"/>
      <c r="D16" s="40"/>
      <c r="E16" s="40"/>
      <c r="F16" s="40"/>
    </row>
    <row r="17" spans="1:6" x14ac:dyDescent="0.2">
      <c r="A17" s="40"/>
      <c r="B17" s="40"/>
      <c r="C17" s="40"/>
      <c r="D17" s="40"/>
      <c r="E17" s="40"/>
      <c r="F17" s="40"/>
    </row>
    <row r="18" spans="1:6" x14ac:dyDescent="0.2">
      <c r="A18" s="40"/>
      <c r="B18" s="40"/>
      <c r="C18" s="40"/>
      <c r="D18" s="40"/>
      <c r="E18" s="40"/>
      <c r="F18" s="40"/>
    </row>
    <row r="19" spans="1:6" x14ac:dyDescent="0.2">
      <c r="A19" s="40"/>
      <c r="B19" s="40"/>
      <c r="C19" s="40"/>
      <c r="D19" s="40"/>
      <c r="E19" s="40"/>
      <c r="F19" s="40"/>
    </row>
    <row r="20" spans="1:6" x14ac:dyDescent="0.2">
      <c r="A20" s="40"/>
      <c r="B20" s="40"/>
      <c r="C20" s="40"/>
      <c r="D20" s="40"/>
      <c r="E20" s="40"/>
      <c r="F20" s="4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  <c r="J1" t="s">
        <v>144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112</v>
      </c>
      <c r="B4" t="s">
        <v>113</v>
      </c>
      <c r="C4" t="s">
        <v>114</v>
      </c>
      <c r="D4" t="s">
        <v>115</v>
      </c>
      <c r="E4" t="s">
        <v>116</v>
      </c>
      <c r="F4" t="s">
        <v>117</v>
      </c>
      <c r="G4" t="s">
        <v>118</v>
      </c>
      <c r="H4" t="s">
        <v>119</v>
      </c>
      <c r="I4" t="s">
        <v>120</v>
      </c>
      <c r="J4" t="s">
        <v>121</v>
      </c>
      <c r="K4" t="s">
        <v>122</v>
      </c>
      <c r="L4" t="s">
        <v>123</v>
      </c>
      <c r="M4" t="s">
        <v>124</v>
      </c>
      <c r="N4" t="s">
        <v>125</v>
      </c>
      <c r="O4" t="s">
        <v>126</v>
      </c>
      <c r="P4" t="s">
        <v>127</v>
      </c>
      <c r="Q4" t="s">
        <v>128</v>
      </c>
      <c r="R4" t="s">
        <v>129</v>
      </c>
      <c r="S4" t="s">
        <v>130</v>
      </c>
      <c r="T4" t="s">
        <v>131</v>
      </c>
      <c r="U4" t="s">
        <v>132</v>
      </c>
      <c r="V4" t="s">
        <v>133</v>
      </c>
      <c r="W4" t="s">
        <v>134</v>
      </c>
    </row>
    <row r="6" spans="1:23" x14ac:dyDescent="0.2">
      <c r="A6" t="e">
        <f>#REF!</f>
        <v>#REF!</v>
      </c>
      <c r="B6">
        <v>20</v>
      </c>
      <c r="G6" t="e">
        <f>#REF!</f>
        <v>#REF!</v>
      </c>
    </row>
    <row r="7" spans="1:23" x14ac:dyDescent="0.2">
      <c r="A7" t="e">
        <f>#REF!</f>
        <v>#REF!</v>
      </c>
      <c r="B7">
        <v>24</v>
      </c>
      <c r="G7" t="e">
        <f>#REF!</f>
        <v>#REF!</v>
      </c>
    </row>
    <row r="8" spans="1:23" x14ac:dyDescent="0.2">
      <c r="A8" t="e">
        <f>#REF!</f>
        <v>#REF!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 t="e">
        <f>SmtRes!Y4*#REF!</f>
        <v>#REF!</v>
      </c>
      <c r="J8">
        <f>SmtRes!AO4</f>
        <v>1</v>
      </c>
      <c r="K8">
        <f>SmtRes!AH4</f>
        <v>7.8</v>
      </c>
      <c r="L8">
        <f>SmtRes!DB4</f>
        <v>404.06</v>
      </c>
      <c r="M8" t="e">
        <f>ROUND(ROUND(L8*#REF!, 6)*1, 2)</f>
        <v>#REF!</v>
      </c>
      <c r="N8">
        <f>SmtRes!AD4</f>
        <v>7.8</v>
      </c>
      <c r="O8" t="e">
        <f>ROUND(ROUND(L8*#REF!, 6)*SmtRes!DA4, 2)</f>
        <v>#REF!</v>
      </c>
      <c r="P8">
        <f>SmtRes!AG4</f>
        <v>0</v>
      </c>
      <c r="Q8">
        <f>SmtRes!DC4</f>
        <v>0</v>
      </c>
      <c r="R8" t="e">
        <f>ROUND(ROUND(Q8*#REF!, 6)*1, 2)</f>
        <v>#REF!</v>
      </c>
      <c r="S8">
        <f>SmtRes!AC4</f>
        <v>0</v>
      </c>
      <c r="T8" t="e">
        <f>ROUND(ROUND(Q8*#REF!, 6)*SmtRes!AK4, 2)</f>
        <v>#REF!</v>
      </c>
      <c r="U8">
        <f>SmtRes!X4</f>
        <v>735429535</v>
      </c>
      <c r="V8">
        <v>-634705416</v>
      </c>
      <c r="W8">
        <v>-873429878</v>
      </c>
    </row>
    <row r="9" spans="1:23" x14ac:dyDescent="0.2">
      <c r="A9" t="e">
        <f>#REF!</f>
        <v>#REF!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 t="e">
        <f>SmtRes!Y14*#REF!</f>
        <v>#REF!</v>
      </c>
      <c r="J9">
        <f>SmtRes!AO14</f>
        <v>1</v>
      </c>
      <c r="K9">
        <f>SmtRes!AF14</f>
        <v>31.26</v>
      </c>
      <c r="L9">
        <f>SmtRes!DB14</f>
        <v>2.8420000000000001</v>
      </c>
      <c r="M9" t="e">
        <f>ROUND(ROUND(L9*#REF!, 6)*1, 2)</f>
        <v>#REF!</v>
      </c>
      <c r="N9">
        <f>SmtRes!AB14</f>
        <v>422.01</v>
      </c>
      <c r="O9" t="e">
        <f>ROUND(ROUND(L9*#REF!, 6)*SmtRes!DA14, 2)</f>
        <v>#REF!</v>
      </c>
      <c r="P9">
        <f>SmtRes!AG14</f>
        <v>13.5</v>
      </c>
      <c r="Q9">
        <f>SmtRes!DC14</f>
        <v>1.232</v>
      </c>
      <c r="R9" t="e">
        <f>ROUND(ROUND(Q9*#REF!, 6)*1, 2)</f>
        <v>#REF!</v>
      </c>
      <c r="S9">
        <f>SmtRes!AC14</f>
        <v>408.24</v>
      </c>
      <c r="T9" t="e">
        <f>ROUND(ROUND(Q9*#REF!, 6)*SmtRes!AK14, 2)</f>
        <v>#REF!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 t="e">
        <f>#REF!</f>
        <v>#REF!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 t="e">
        <f>SmtRes!Y13*#REF!</f>
        <v>#REF!</v>
      </c>
      <c r="J10">
        <f>SmtRes!AO13</f>
        <v>1</v>
      </c>
      <c r="K10">
        <f>SmtRes!AF13</f>
        <v>89.99</v>
      </c>
      <c r="L10">
        <f>SmtRes!DB13</f>
        <v>5.04</v>
      </c>
      <c r="M10" t="e">
        <f>ROUND(ROUND(L10*#REF!, 6)*1, 2)</f>
        <v>#REF!</v>
      </c>
      <c r="N10">
        <f>SmtRes!AB13</f>
        <v>634.42999999999995</v>
      </c>
      <c r="O10" t="e">
        <f>ROUND(ROUND(L10*#REF!, 6)*SmtRes!DA13, 2)</f>
        <v>#REF!</v>
      </c>
      <c r="P10">
        <f>SmtRes!AG13</f>
        <v>10.06</v>
      </c>
      <c r="Q10">
        <f>SmtRes!DC13</f>
        <v>0.56000000000000005</v>
      </c>
      <c r="R10" t="e">
        <f>ROUND(ROUND(Q10*#REF!, 6)*1, 2)</f>
        <v>#REF!</v>
      </c>
      <c r="S10">
        <f>SmtRes!AC13</f>
        <v>304.20999999999998</v>
      </c>
      <c r="T10" t="e">
        <f>ROUND(ROUND(Q10*#REF!, 6)*SmtRes!AK13, 2)</f>
        <v>#REF!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 t="e">
        <f>#REF!</f>
        <v>#REF!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 t="e">
        <f>SmtRes!Y11*#REF!</f>
        <v>#REF!</v>
      </c>
      <c r="J11">
        <f>SmtRes!AO11</f>
        <v>1</v>
      </c>
      <c r="K11">
        <f>SmtRes!AH11</f>
        <v>9.18</v>
      </c>
      <c r="L11">
        <f>SmtRes!DB11</f>
        <v>160.524</v>
      </c>
      <c r="M11" t="e">
        <f>ROUND(ROUND(L11*#REF!, 6)*1, 2)</f>
        <v>#REF!</v>
      </c>
      <c r="N11">
        <f>SmtRes!AD11</f>
        <v>9.18</v>
      </c>
      <c r="O11" t="e">
        <f>ROUND(ROUND(L11*#REF!, 6)*SmtRes!DA11, 2)</f>
        <v>#REF!</v>
      </c>
      <c r="P11">
        <f>SmtRes!AG11</f>
        <v>0</v>
      </c>
      <c r="Q11">
        <f>SmtRes!DC11</f>
        <v>0</v>
      </c>
      <c r="R11" t="e">
        <f>ROUND(ROUND(Q11*#REF!, 6)*1, 2)</f>
        <v>#REF!</v>
      </c>
      <c r="S11">
        <f>SmtRes!AC11</f>
        <v>0</v>
      </c>
      <c r="T11" t="e">
        <f>ROUND(ROUND(Q11*#REF!, 6)*SmtRes!AK11, 2)</f>
        <v>#REF!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 t="e">
        <f>#REF!</f>
        <v>#REF!</v>
      </c>
      <c r="B12">
        <v>64</v>
      </c>
      <c r="G12" t="e">
        <f>#REF!</f>
        <v>#REF!</v>
      </c>
    </row>
    <row r="13" spans="1:23" x14ac:dyDescent="0.2">
      <c r="A13" t="e">
        <f>#REF!</f>
        <v>#REF!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 t="e">
        <f>SmtRes!Y20*#REF!</f>
        <v>#REF!</v>
      </c>
      <c r="J13">
        <f>SmtRes!AO20</f>
        <v>1</v>
      </c>
      <c r="K13">
        <f>SmtRes!AH20</f>
        <v>7.8</v>
      </c>
      <c r="L13">
        <f>SmtRes!DB20</f>
        <v>404.06</v>
      </c>
      <c r="M13" t="e">
        <f>ROUND(ROUND(L13*#REF!, 6)*1, 2)</f>
        <v>#REF!</v>
      </c>
      <c r="N13">
        <f>SmtRes!AD20</f>
        <v>7.8</v>
      </c>
      <c r="O13" t="e">
        <f>ROUND(ROUND(L13*#REF!, 6)*SmtRes!DA20, 2)</f>
        <v>#REF!</v>
      </c>
      <c r="P13">
        <f>SmtRes!AG20</f>
        <v>0</v>
      </c>
      <c r="Q13">
        <f>SmtRes!DC20</f>
        <v>0</v>
      </c>
      <c r="R13" t="e">
        <f>ROUND(ROUND(Q13*#REF!, 6)*1, 2)</f>
        <v>#REF!</v>
      </c>
      <c r="S13">
        <f>SmtRes!AC20</f>
        <v>0</v>
      </c>
      <c r="T13" t="e">
        <f>ROUND(ROUND(Q13*#REF!, 6)*SmtRes!AK20, 2)</f>
        <v>#REF!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 t="e">
        <f>#REF!</f>
        <v>#REF!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 t="e">
        <f>SmtRes!Y30*#REF!</f>
        <v>#REF!</v>
      </c>
      <c r="J14">
        <f>SmtRes!AO30</f>
        <v>1</v>
      </c>
      <c r="K14">
        <f>SmtRes!AF30</f>
        <v>31.26</v>
      </c>
      <c r="L14">
        <f>SmtRes!DB30</f>
        <v>2.8420000000000001</v>
      </c>
      <c r="M14" t="e">
        <f>ROUND(ROUND(L14*#REF!, 6)*1, 2)</f>
        <v>#REF!</v>
      </c>
      <c r="N14">
        <f>SmtRes!AB30</f>
        <v>422.01</v>
      </c>
      <c r="O14" t="e">
        <f>ROUND(ROUND(L14*#REF!, 6)*SmtRes!DA30, 2)</f>
        <v>#REF!</v>
      </c>
      <c r="P14">
        <f>SmtRes!AG30</f>
        <v>13.5</v>
      </c>
      <c r="Q14">
        <f>SmtRes!DC30</f>
        <v>1.232</v>
      </c>
      <c r="R14" t="e">
        <f>ROUND(ROUND(Q14*#REF!, 6)*1, 2)</f>
        <v>#REF!</v>
      </c>
      <c r="S14">
        <f>SmtRes!AC30</f>
        <v>408.24</v>
      </c>
      <c r="T14" t="e">
        <f>ROUND(ROUND(Q14*#REF!, 6)*SmtRes!AK30, 2)</f>
        <v>#REF!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 t="e">
        <f>#REF!</f>
        <v>#REF!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 t="e">
        <f>SmtRes!Y29*#REF!</f>
        <v>#REF!</v>
      </c>
      <c r="J15">
        <f>SmtRes!AO29</f>
        <v>1</v>
      </c>
      <c r="K15">
        <f>SmtRes!AF29</f>
        <v>89.99</v>
      </c>
      <c r="L15">
        <f>SmtRes!DB29</f>
        <v>5.04</v>
      </c>
      <c r="M15" t="e">
        <f>ROUND(ROUND(L15*#REF!, 6)*1, 2)</f>
        <v>#REF!</v>
      </c>
      <c r="N15">
        <f>SmtRes!AB29</f>
        <v>634.42999999999995</v>
      </c>
      <c r="O15" t="e">
        <f>ROUND(ROUND(L15*#REF!, 6)*SmtRes!DA29, 2)</f>
        <v>#REF!</v>
      </c>
      <c r="P15">
        <f>SmtRes!AG29</f>
        <v>10.06</v>
      </c>
      <c r="Q15">
        <f>SmtRes!DC29</f>
        <v>0.56000000000000005</v>
      </c>
      <c r="R15" t="e">
        <f>ROUND(ROUND(Q15*#REF!, 6)*1, 2)</f>
        <v>#REF!</v>
      </c>
      <c r="S15">
        <f>SmtRes!AC29</f>
        <v>304.20999999999998</v>
      </c>
      <c r="T15" t="e">
        <f>ROUND(ROUND(Q15*#REF!, 6)*SmtRes!AK29, 2)</f>
        <v>#REF!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 t="e">
        <f>#REF!</f>
        <v>#REF!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 t="e">
        <f>SmtRes!Y27*#REF!</f>
        <v>#REF!</v>
      </c>
      <c r="J16">
        <f>SmtRes!AO27</f>
        <v>1</v>
      </c>
      <c r="K16">
        <f>SmtRes!AH27</f>
        <v>9.18</v>
      </c>
      <c r="L16">
        <f>SmtRes!DB27</f>
        <v>160.524</v>
      </c>
      <c r="M16" t="e">
        <f>ROUND(ROUND(L16*#REF!, 6)*1, 2)</f>
        <v>#REF!</v>
      </c>
      <c r="N16">
        <f>SmtRes!AD27</f>
        <v>9.18</v>
      </c>
      <c r="O16" t="e">
        <f>ROUND(ROUND(L16*#REF!, 6)*SmtRes!DA27, 2)</f>
        <v>#REF!</v>
      </c>
      <c r="P16">
        <f>SmtRes!AG27</f>
        <v>0</v>
      </c>
      <c r="Q16">
        <f>SmtRes!DC27</f>
        <v>0</v>
      </c>
      <c r="R16" t="e">
        <f>ROUND(ROUND(Q16*#REF!, 6)*1, 2)</f>
        <v>#REF!</v>
      </c>
      <c r="S16">
        <f>SmtRes!AC27</f>
        <v>0</v>
      </c>
      <c r="T16" t="e">
        <f>ROUND(ROUND(Q16*#REF!, 6)*SmtRes!AK27, 2)</f>
        <v>#REF!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 t="e">
        <f>#REF!</f>
        <v>#REF!</v>
      </c>
      <c r="B17">
        <v>104</v>
      </c>
      <c r="G17" t="e">
        <f>#REF!</f>
        <v>#REF!</v>
      </c>
    </row>
    <row r="18" spans="1:23" x14ac:dyDescent="0.2">
      <c r="A18" t="e">
        <f>#REF!</f>
        <v>#REF!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 t="e">
        <f>SmtRes!Y36*#REF!</f>
        <v>#REF!</v>
      </c>
      <c r="J18">
        <f>SmtRes!AO36</f>
        <v>1</v>
      </c>
      <c r="K18">
        <f>SmtRes!AE36</f>
        <v>82</v>
      </c>
      <c r="L18">
        <f>SmtRes!DB36</f>
        <v>16.399999999999999</v>
      </c>
      <c r="M18" t="e">
        <f>ROUND(ROUND(L18*#REF!, 6)*1, 2)</f>
        <v>#REF!</v>
      </c>
      <c r="N18">
        <f>SmtRes!AA36</f>
        <v>460.84</v>
      </c>
      <c r="O18" t="e">
        <f>ROUND(ROUND(L18*#REF!, 6)*SmtRes!DA36, 2)</f>
        <v>#REF!</v>
      </c>
      <c r="P18">
        <f>SmtRes!AG36</f>
        <v>0</v>
      </c>
      <c r="Q18">
        <f>SmtRes!DC36</f>
        <v>0</v>
      </c>
      <c r="R18" t="e">
        <f>ROUND(ROUND(Q18*#REF!, 6)*1, 2)</f>
        <v>#REF!</v>
      </c>
      <c r="S18">
        <f>SmtRes!AC36</f>
        <v>0</v>
      </c>
      <c r="T18" t="e">
        <f>ROUND(ROUND(Q18*#REF!, 6)*SmtRes!AK36, 2)</f>
        <v>#REF!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 t="e">
        <f>#REF!</f>
        <v>#REF!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 t="e">
        <f>SmtRes!Y35*#REF!</f>
        <v>#REF!</v>
      </c>
      <c r="J19">
        <f>SmtRes!AO35</f>
        <v>1</v>
      </c>
      <c r="K19">
        <f>SmtRes!AH35</f>
        <v>7.19</v>
      </c>
      <c r="L19">
        <f>SmtRes!DB35</f>
        <v>7.41</v>
      </c>
      <c r="M19" t="e">
        <f>ROUND(ROUND(L19*#REF!, 6)*1, 2)</f>
        <v>#REF!</v>
      </c>
      <c r="N19">
        <f>SmtRes!AD35</f>
        <v>7.19</v>
      </c>
      <c r="O19" t="e">
        <f>ROUND(ROUND(L19*#REF!, 6)*SmtRes!DA35, 2)</f>
        <v>#REF!</v>
      </c>
      <c r="P19">
        <f>SmtRes!AG35</f>
        <v>0</v>
      </c>
      <c r="Q19">
        <f>SmtRes!DC35</f>
        <v>0</v>
      </c>
      <c r="R19" t="e">
        <f>ROUND(ROUND(Q19*#REF!, 6)*1, 2)</f>
        <v>#REF!</v>
      </c>
      <c r="S19">
        <f>SmtRes!AC35</f>
        <v>0</v>
      </c>
      <c r="T19" t="e">
        <f>ROUND(ROUND(Q19*#REF!, 6)*SmtRes!AK35, 2)</f>
        <v>#REF!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 t="e">
        <f>#REF!</f>
        <v>#REF!</v>
      </c>
      <c r="C20">
        <v>3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>
        <v>1</v>
      </c>
      <c r="K20" t="e">
        <f>#REF!</f>
        <v>#REF!</v>
      </c>
      <c r="M20" t="e">
        <f>ROUND(K20*I20, 2)</f>
        <v>#REF!</v>
      </c>
      <c r="N20" t="e">
        <f>#REF!*IF(#REF!&lt;&gt; 0,#REF!, 1)</f>
        <v>#REF!</v>
      </c>
      <c r="O20" t="e">
        <f>ROUND(N20*I20, 2)</f>
        <v>#REF!</v>
      </c>
      <c r="P20" t="e">
        <f>#REF!</f>
        <v>#REF!</v>
      </c>
      <c r="R20" t="e">
        <f>ROUND(P20*I20, 2)</f>
        <v>#REF!</v>
      </c>
      <c r="S20" t="e">
        <f>#REF!*IF(#REF!&lt;&gt; 0,#REF!, 1)</f>
        <v>#REF!</v>
      </c>
      <c r="T20" t="e">
        <f>ROUND(S20*I20, 2)</f>
        <v>#REF!</v>
      </c>
      <c r="U20" t="e">
        <f>#REF!</f>
        <v>#REF!</v>
      </c>
      <c r="V20">
        <v>534366141</v>
      </c>
      <c r="W20">
        <v>-74809241</v>
      </c>
    </row>
    <row r="21" spans="1:23" x14ac:dyDescent="0.2">
      <c r="A21">
        <v>999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85</v>
      </c>
      <c r="F1">
        <v>0</v>
      </c>
      <c r="G1">
        <v>0</v>
      </c>
      <c r="H1">
        <v>0</v>
      </c>
      <c r="I1" t="s">
        <v>1</v>
      </c>
      <c r="J1" t="s">
        <v>2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3</v>
      </c>
      <c r="G4" s="1" t="s">
        <v>4</v>
      </c>
      <c r="H4" s="1" t="s">
        <v>2</v>
      </c>
      <c r="I4" s="1" t="s">
        <v>2</v>
      </c>
      <c r="J4" s="1" t="s">
        <v>2</v>
      </c>
      <c r="K4" s="1" t="s">
        <v>2</v>
      </c>
      <c r="L4" s="1" t="s">
        <v>2</v>
      </c>
      <c r="M4" s="1" t="s">
        <v>2</v>
      </c>
      <c r="N4" s="1" t="s">
        <v>2</v>
      </c>
      <c r="O4" s="1" t="s">
        <v>2</v>
      </c>
      <c r="P4" s="1">
        <v>0</v>
      </c>
      <c r="Q4" s="1" t="s">
        <v>2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5</v>
      </c>
      <c r="G12" s="1" t="s">
        <v>6</v>
      </c>
      <c r="H12" s="1" t="s">
        <v>2</v>
      </c>
      <c r="I12" s="1">
        <v>0</v>
      </c>
      <c r="J12" s="1" t="s">
        <v>2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2</v>
      </c>
      <c r="V12" s="1">
        <v>0</v>
      </c>
      <c r="W12" s="1" t="s">
        <v>2</v>
      </c>
      <c r="X12" s="1" t="s">
        <v>2</v>
      </c>
      <c r="Y12" s="1" t="s">
        <v>2</v>
      </c>
      <c r="Z12" s="1" t="s">
        <v>2</v>
      </c>
      <c r="AA12" s="1" t="s">
        <v>2</v>
      </c>
      <c r="AB12" s="1" t="s">
        <v>2</v>
      </c>
      <c r="AC12" s="1" t="s">
        <v>2</v>
      </c>
      <c r="AD12" s="1" t="s">
        <v>2</v>
      </c>
      <c r="AE12" s="1" t="s">
        <v>2</v>
      </c>
      <c r="AF12" s="1" t="s">
        <v>2</v>
      </c>
      <c r="AG12" s="1" t="s">
        <v>2</v>
      </c>
      <c r="AH12" s="1" t="s">
        <v>2</v>
      </c>
      <c r="AI12" s="1" t="s">
        <v>2</v>
      </c>
      <c r="AJ12" s="1" t="s">
        <v>2</v>
      </c>
      <c r="AK12" s="1"/>
      <c r="AL12" s="1" t="s">
        <v>2</v>
      </c>
      <c r="AM12" s="1" t="s">
        <v>2</v>
      </c>
      <c r="AN12" s="1" t="s">
        <v>2</v>
      </c>
      <c r="AO12" s="1"/>
      <c r="AP12" s="1" t="s">
        <v>2</v>
      </c>
      <c r="AQ12" s="1" t="s">
        <v>2</v>
      </c>
      <c r="AR12" s="1" t="s">
        <v>2</v>
      </c>
      <c r="AS12" s="1"/>
      <c r="AT12" s="1"/>
      <c r="AU12" s="1"/>
      <c r="AV12" s="1"/>
      <c r="AW12" s="1"/>
      <c r="AX12" s="1" t="s">
        <v>2</v>
      </c>
      <c r="AY12" s="1" t="s">
        <v>2</v>
      </c>
      <c r="AZ12" s="1" t="s">
        <v>2</v>
      </c>
      <c r="BA12" s="1"/>
      <c r="BB12" s="1"/>
      <c r="BC12" s="1"/>
      <c r="BD12" s="1"/>
      <c r="BE12" s="1"/>
      <c r="BF12" s="1"/>
      <c r="BG12" s="1"/>
      <c r="BH12" s="1" t="s">
        <v>7</v>
      </c>
      <c r="BI12" s="1" t="s">
        <v>8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2</v>
      </c>
      <c r="BZ12" s="1" t="s">
        <v>9</v>
      </c>
      <c r="CA12" s="1" t="s">
        <v>10</v>
      </c>
      <c r="CB12" s="1" t="s">
        <v>10</v>
      </c>
      <c r="CC12" s="1" t="s">
        <v>10</v>
      </c>
      <c r="CD12" s="1" t="s">
        <v>10</v>
      </c>
      <c r="CE12" s="1" t="s">
        <v>11</v>
      </c>
      <c r="CF12" s="1">
        <v>0</v>
      </c>
      <c r="CG12" s="1">
        <v>0</v>
      </c>
      <c r="CH12" s="1">
        <v>524296</v>
      </c>
      <c r="CI12" s="1" t="s">
        <v>2</v>
      </c>
      <c r="CJ12" s="1" t="s">
        <v>2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6">
        <v>3</v>
      </c>
      <c r="B16" s="6">
        <v>1</v>
      </c>
      <c r="C16" s="6" t="s">
        <v>12</v>
      </c>
      <c r="D16" s="6" t="s">
        <v>12</v>
      </c>
      <c r="E16" s="7" t="e">
        <f>(#REF!)/1000</f>
        <v>#REF!</v>
      </c>
      <c r="F16" s="7" t="e">
        <f>(#REF!)/1000</f>
        <v>#REF!</v>
      </c>
      <c r="G16" s="7" t="e">
        <f>(#REF!)/1000</f>
        <v>#REF!</v>
      </c>
      <c r="H16" s="7" t="e">
        <f>(#REF!)/1000+(#REF!)/1000</f>
        <v>#REF!</v>
      </c>
      <c r="I16" s="7" t="e">
        <f>E16+F16+G16+H16</f>
        <v>#REF!</v>
      </c>
      <c r="J16" s="7" t="e">
        <f>(#REF!)/1000</f>
        <v>#REF!</v>
      </c>
      <c r="T16" s="8" t="e">
        <f>(#REF!)/1000</f>
        <v>#REF!</v>
      </c>
      <c r="U16" s="8" t="e">
        <f>(#REF!)/1000</f>
        <v>#REF!</v>
      </c>
      <c r="V16" s="8" t="e">
        <f>(#REF!)/1000</f>
        <v>#REF!</v>
      </c>
      <c r="W16" s="8" t="e">
        <f>(#REF!)/1000+(#REF!)/1000</f>
        <v>#REF!</v>
      </c>
      <c r="X16" s="8" t="e">
        <f>T16+U16+V16+W16</f>
        <v>#REF!</v>
      </c>
      <c r="Y16" s="8" t="e">
        <f>(#REF!)/1000</f>
        <v>#REF!</v>
      </c>
      <c r="AI16" s="6">
        <v>0</v>
      </c>
      <c r="AJ16" s="6">
        <v>0</v>
      </c>
      <c r="AK16" s="6" t="s">
        <v>2</v>
      </c>
      <c r="AL16" s="6" t="s">
        <v>2</v>
      </c>
      <c r="AM16" s="6" t="s">
        <v>2</v>
      </c>
      <c r="AN16" s="6">
        <v>0</v>
      </c>
      <c r="AO16" s="6" t="s">
        <v>2</v>
      </c>
      <c r="AP16" s="6" t="s">
        <v>2</v>
      </c>
      <c r="AT16" s="7">
        <v>784069.6</v>
      </c>
      <c r="AU16" s="7">
        <v>310125.26</v>
      </c>
      <c r="AV16" s="7">
        <v>0</v>
      </c>
      <c r="AW16" s="7">
        <v>0</v>
      </c>
      <c r="AX16" s="7">
        <v>0</v>
      </c>
      <c r="AY16" s="7">
        <v>1845</v>
      </c>
      <c r="AZ16" s="7">
        <v>1350.87</v>
      </c>
      <c r="BA16" s="7">
        <v>472099.34</v>
      </c>
      <c r="BB16" s="7">
        <v>1357043.06</v>
      </c>
      <c r="BC16" s="7">
        <v>0</v>
      </c>
      <c r="BD16" s="7">
        <v>291000.40000000002</v>
      </c>
      <c r="BE16" s="7">
        <v>0</v>
      </c>
      <c r="BF16" s="7">
        <v>1940.9490221599999</v>
      </c>
      <c r="BG16" s="7">
        <v>3.6644747999999998</v>
      </c>
      <c r="BH16" s="7">
        <v>0</v>
      </c>
      <c r="BI16" s="7">
        <v>499798.45</v>
      </c>
      <c r="BJ16" s="7">
        <v>303761.99</v>
      </c>
      <c r="BK16" s="7">
        <v>1648043.46</v>
      </c>
      <c r="BR16" s="8">
        <v>56093.43</v>
      </c>
      <c r="BS16" s="8">
        <v>40285.18</v>
      </c>
      <c r="BT16" s="8">
        <v>0</v>
      </c>
      <c r="BU16" s="8">
        <v>0</v>
      </c>
      <c r="BV16" s="8">
        <v>0</v>
      </c>
      <c r="BW16" s="8">
        <v>196.49</v>
      </c>
      <c r="BX16" s="8">
        <v>44.68</v>
      </c>
      <c r="BY16" s="8">
        <v>15611.76</v>
      </c>
      <c r="BZ16" s="8">
        <v>49508.67</v>
      </c>
      <c r="CA16" s="8">
        <v>0</v>
      </c>
      <c r="CB16" s="8">
        <v>36882.18</v>
      </c>
      <c r="CC16" s="8">
        <v>0</v>
      </c>
      <c r="CD16" s="8">
        <v>1940.9490221599999</v>
      </c>
      <c r="CE16" s="8">
        <v>3.6644747999999998</v>
      </c>
      <c r="CF16" s="8">
        <v>0</v>
      </c>
      <c r="CG16" s="8">
        <v>16527.740000000002</v>
      </c>
      <c r="CH16" s="8">
        <v>10045.049999999999</v>
      </c>
      <c r="CI16" s="8">
        <v>86390.85</v>
      </c>
    </row>
    <row r="18" spans="1:40" x14ac:dyDescent="0.2">
      <c r="A18">
        <v>51</v>
      </c>
      <c r="E18" s="9" t="e">
        <f>SUMIF(A16:A17,3,E16:E17)</f>
        <v>#REF!</v>
      </c>
      <c r="F18" s="9" t="e">
        <f>SUMIF(A16:A17,3,F16:F17)</f>
        <v>#REF!</v>
      </c>
      <c r="G18" s="9" t="e">
        <f>SUMIF(A16:A17,3,G16:G17)</f>
        <v>#REF!</v>
      </c>
      <c r="H18" s="9" t="e">
        <f>SUMIF(A16:A17,3,H16:H17)</f>
        <v>#REF!</v>
      </c>
      <c r="I18" s="9" t="e">
        <f>SUMIF(A16:A17,3,I16:I17)</f>
        <v>#REF!</v>
      </c>
      <c r="J18" s="9" t="e">
        <f>SUMIF(A16:A17,3,J16:J17)</f>
        <v>#REF!</v>
      </c>
      <c r="K18" s="9"/>
      <c r="L18" s="9"/>
      <c r="M18" s="9"/>
      <c r="N18" s="9"/>
      <c r="O18" s="9"/>
      <c r="P18" s="9"/>
      <c r="Q18" s="9"/>
      <c r="R18" s="9"/>
      <c r="S18" s="9"/>
      <c r="T18" s="2" t="e">
        <f>SUMIF(A16:A17,3,T16:T17)</f>
        <v>#REF!</v>
      </c>
      <c r="U18" s="2" t="e">
        <f>SUMIF(A16:A17,3,U16:U17)</f>
        <v>#REF!</v>
      </c>
      <c r="V18" s="2" t="e">
        <f>SUMIF(A16:A17,3,V16:V17)</f>
        <v>#REF!</v>
      </c>
      <c r="W18" s="2" t="e">
        <f>SUMIF(A16:A17,3,W16:W17)</f>
        <v>#REF!</v>
      </c>
      <c r="X18" s="2" t="e">
        <f>SUMIF(A16:A17,3,X16:X17)</f>
        <v>#REF!</v>
      </c>
      <c r="Y18" s="2" t="e">
        <f>SUMIF(A16:A17,3,Y16:Y17)</f>
        <v>#REF!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20" spans="1:40" x14ac:dyDescent="0.2">
      <c r="A20" s="4">
        <v>50</v>
      </c>
      <c r="B20" s="4">
        <v>0</v>
      </c>
      <c r="C20" s="4">
        <v>0</v>
      </c>
      <c r="D20" s="4">
        <v>1</v>
      </c>
      <c r="E20" s="4">
        <v>201</v>
      </c>
      <c r="F20" s="4">
        <v>784069.6</v>
      </c>
      <c r="G20" s="4" t="s">
        <v>17</v>
      </c>
      <c r="H20" s="4" t="s">
        <v>18</v>
      </c>
      <c r="I20" s="4"/>
      <c r="J20" s="4"/>
      <c r="K20" s="4">
        <v>201</v>
      </c>
      <c r="L20" s="4">
        <v>1</v>
      </c>
      <c r="M20" s="4">
        <v>3</v>
      </c>
      <c r="N20" s="4" t="s">
        <v>2</v>
      </c>
      <c r="O20" s="4">
        <v>2</v>
      </c>
      <c r="P20" s="4">
        <v>56093.43</v>
      </c>
    </row>
    <row r="21" spans="1:40" x14ac:dyDescent="0.2">
      <c r="A21" s="4">
        <v>50</v>
      </c>
      <c r="B21" s="4">
        <v>0</v>
      </c>
      <c r="C21" s="4">
        <v>0</v>
      </c>
      <c r="D21" s="4">
        <v>1</v>
      </c>
      <c r="E21" s="4">
        <v>202</v>
      </c>
      <c r="F21" s="4">
        <v>310125.26</v>
      </c>
      <c r="G21" s="4" t="s">
        <v>19</v>
      </c>
      <c r="H21" s="4" t="s">
        <v>20</v>
      </c>
      <c r="I21" s="4"/>
      <c r="J21" s="4"/>
      <c r="K21" s="4">
        <v>202</v>
      </c>
      <c r="L21" s="4">
        <v>2</v>
      </c>
      <c r="M21" s="4">
        <v>3</v>
      </c>
      <c r="N21" s="4" t="s">
        <v>2</v>
      </c>
      <c r="O21" s="4">
        <v>2</v>
      </c>
      <c r="P21" s="4">
        <v>40285.18</v>
      </c>
    </row>
    <row r="22" spans="1:40" x14ac:dyDescent="0.2">
      <c r="A22" s="4">
        <v>50</v>
      </c>
      <c r="B22" s="4">
        <v>0</v>
      </c>
      <c r="C22" s="4">
        <v>0</v>
      </c>
      <c r="D22" s="4">
        <v>1</v>
      </c>
      <c r="E22" s="4">
        <v>222</v>
      </c>
      <c r="F22" s="4">
        <v>0</v>
      </c>
      <c r="G22" s="4" t="s">
        <v>21</v>
      </c>
      <c r="H22" s="4" t="s">
        <v>22</v>
      </c>
      <c r="I22" s="4"/>
      <c r="J22" s="4"/>
      <c r="K22" s="4">
        <v>222</v>
      </c>
      <c r="L22" s="4">
        <v>3</v>
      </c>
      <c r="M22" s="4">
        <v>3</v>
      </c>
      <c r="N22" s="4" t="s">
        <v>2</v>
      </c>
      <c r="O22" s="4">
        <v>2</v>
      </c>
      <c r="P22" s="4">
        <v>0</v>
      </c>
    </row>
    <row r="23" spans="1:40" x14ac:dyDescent="0.2">
      <c r="A23" s="4">
        <v>50</v>
      </c>
      <c r="B23" s="4">
        <v>0</v>
      </c>
      <c r="C23" s="4">
        <v>0</v>
      </c>
      <c r="D23" s="4">
        <v>1</v>
      </c>
      <c r="E23" s="4">
        <v>225</v>
      </c>
      <c r="F23" s="4">
        <v>310125.26</v>
      </c>
      <c r="G23" s="4" t="s">
        <v>23</v>
      </c>
      <c r="H23" s="4" t="s">
        <v>24</v>
      </c>
      <c r="I23" s="4"/>
      <c r="J23" s="4"/>
      <c r="K23" s="4">
        <v>225</v>
      </c>
      <c r="L23" s="4">
        <v>4</v>
      </c>
      <c r="M23" s="4">
        <v>3</v>
      </c>
      <c r="N23" s="4" t="s">
        <v>2</v>
      </c>
      <c r="O23" s="4">
        <v>2</v>
      </c>
      <c r="P23" s="4">
        <v>40285.18</v>
      </c>
    </row>
    <row r="24" spans="1:40" x14ac:dyDescent="0.2">
      <c r="A24" s="4">
        <v>50</v>
      </c>
      <c r="B24" s="4">
        <v>0</v>
      </c>
      <c r="C24" s="4">
        <v>0</v>
      </c>
      <c r="D24" s="4">
        <v>1</v>
      </c>
      <c r="E24" s="4">
        <v>226</v>
      </c>
      <c r="F24" s="4">
        <v>310125.26</v>
      </c>
      <c r="G24" s="4" t="s">
        <v>25</v>
      </c>
      <c r="H24" s="4" t="s">
        <v>26</v>
      </c>
      <c r="I24" s="4"/>
      <c r="J24" s="4"/>
      <c r="K24" s="4">
        <v>226</v>
      </c>
      <c r="L24" s="4">
        <v>5</v>
      </c>
      <c r="M24" s="4">
        <v>3</v>
      </c>
      <c r="N24" s="4" t="s">
        <v>2</v>
      </c>
      <c r="O24" s="4">
        <v>2</v>
      </c>
      <c r="P24" s="4">
        <v>40285.18</v>
      </c>
    </row>
    <row r="25" spans="1:40" x14ac:dyDescent="0.2">
      <c r="A25" s="4">
        <v>50</v>
      </c>
      <c r="B25" s="4">
        <v>0</v>
      </c>
      <c r="C25" s="4">
        <v>0</v>
      </c>
      <c r="D25" s="4">
        <v>1</v>
      </c>
      <c r="E25" s="4">
        <v>227</v>
      </c>
      <c r="F25" s="4">
        <v>0</v>
      </c>
      <c r="G25" s="4" t="s">
        <v>27</v>
      </c>
      <c r="H25" s="4" t="s">
        <v>28</v>
      </c>
      <c r="I25" s="4"/>
      <c r="J25" s="4"/>
      <c r="K25" s="4">
        <v>227</v>
      </c>
      <c r="L25" s="4">
        <v>6</v>
      </c>
      <c r="M25" s="4">
        <v>3</v>
      </c>
      <c r="N25" s="4" t="s">
        <v>2</v>
      </c>
      <c r="O25" s="4">
        <v>2</v>
      </c>
      <c r="P25" s="4">
        <v>0</v>
      </c>
    </row>
    <row r="26" spans="1:40" x14ac:dyDescent="0.2">
      <c r="A26" s="4">
        <v>50</v>
      </c>
      <c r="B26" s="4">
        <v>0</v>
      </c>
      <c r="C26" s="4">
        <v>0</v>
      </c>
      <c r="D26" s="4">
        <v>1</v>
      </c>
      <c r="E26" s="4">
        <v>228</v>
      </c>
      <c r="F26" s="4">
        <v>310125.26</v>
      </c>
      <c r="G26" s="4" t="s">
        <v>29</v>
      </c>
      <c r="H26" s="4" t="s">
        <v>30</v>
      </c>
      <c r="I26" s="4"/>
      <c r="J26" s="4"/>
      <c r="K26" s="4">
        <v>228</v>
      </c>
      <c r="L26" s="4">
        <v>7</v>
      </c>
      <c r="M26" s="4">
        <v>3</v>
      </c>
      <c r="N26" s="4" t="s">
        <v>2</v>
      </c>
      <c r="O26" s="4">
        <v>2</v>
      </c>
      <c r="P26" s="4">
        <v>40285.18</v>
      </c>
    </row>
    <row r="27" spans="1:40" x14ac:dyDescent="0.2">
      <c r="A27" s="4">
        <v>50</v>
      </c>
      <c r="B27" s="4">
        <v>0</v>
      </c>
      <c r="C27" s="4">
        <v>0</v>
      </c>
      <c r="D27" s="4">
        <v>1</v>
      </c>
      <c r="E27" s="4">
        <v>216</v>
      </c>
      <c r="F27" s="4">
        <v>0</v>
      </c>
      <c r="G27" s="4" t="s">
        <v>31</v>
      </c>
      <c r="H27" s="4" t="s">
        <v>32</v>
      </c>
      <c r="I27" s="4"/>
      <c r="J27" s="4"/>
      <c r="K27" s="4">
        <v>216</v>
      </c>
      <c r="L27" s="4">
        <v>8</v>
      </c>
      <c r="M27" s="4">
        <v>3</v>
      </c>
      <c r="N27" s="4" t="s">
        <v>2</v>
      </c>
      <c r="O27" s="4">
        <v>2</v>
      </c>
      <c r="P27" s="4">
        <v>0</v>
      </c>
    </row>
    <row r="28" spans="1:40" x14ac:dyDescent="0.2">
      <c r="A28" s="4">
        <v>50</v>
      </c>
      <c r="B28" s="4">
        <v>0</v>
      </c>
      <c r="C28" s="4">
        <v>0</v>
      </c>
      <c r="D28" s="4">
        <v>1</v>
      </c>
      <c r="E28" s="4">
        <v>223</v>
      </c>
      <c r="F28" s="4">
        <v>0</v>
      </c>
      <c r="G28" s="4" t="s">
        <v>33</v>
      </c>
      <c r="H28" s="4" t="s">
        <v>34</v>
      </c>
      <c r="I28" s="4"/>
      <c r="J28" s="4"/>
      <c r="K28" s="4">
        <v>223</v>
      </c>
      <c r="L28" s="4">
        <v>9</v>
      </c>
      <c r="M28" s="4">
        <v>3</v>
      </c>
      <c r="N28" s="4" t="s">
        <v>2</v>
      </c>
      <c r="O28" s="4">
        <v>2</v>
      </c>
      <c r="P28" s="4">
        <v>0</v>
      </c>
    </row>
    <row r="29" spans="1:40" x14ac:dyDescent="0.2">
      <c r="A29" s="4">
        <v>50</v>
      </c>
      <c r="B29" s="4">
        <v>0</v>
      </c>
      <c r="C29" s="4">
        <v>0</v>
      </c>
      <c r="D29" s="4">
        <v>1</v>
      </c>
      <c r="E29" s="4">
        <v>229</v>
      </c>
      <c r="F29" s="4">
        <v>0</v>
      </c>
      <c r="G29" s="4" t="s">
        <v>35</v>
      </c>
      <c r="H29" s="4" t="s">
        <v>36</v>
      </c>
      <c r="I29" s="4"/>
      <c r="J29" s="4"/>
      <c r="K29" s="4">
        <v>229</v>
      </c>
      <c r="L29" s="4">
        <v>10</v>
      </c>
      <c r="M29" s="4">
        <v>3</v>
      </c>
      <c r="N29" s="4" t="s">
        <v>2</v>
      </c>
      <c r="O29" s="4">
        <v>2</v>
      </c>
      <c r="P29" s="4">
        <v>0</v>
      </c>
    </row>
    <row r="30" spans="1:40" x14ac:dyDescent="0.2">
      <c r="A30" s="4">
        <v>50</v>
      </c>
      <c r="B30" s="4">
        <v>0</v>
      </c>
      <c r="C30" s="4">
        <v>0</v>
      </c>
      <c r="D30" s="4">
        <v>1</v>
      </c>
      <c r="E30" s="4">
        <v>203</v>
      </c>
      <c r="F30" s="4">
        <v>1845</v>
      </c>
      <c r="G30" s="4" t="s">
        <v>37</v>
      </c>
      <c r="H30" s="4" t="s">
        <v>38</v>
      </c>
      <c r="I30" s="4"/>
      <c r="J30" s="4"/>
      <c r="K30" s="4">
        <v>203</v>
      </c>
      <c r="L30" s="4">
        <v>11</v>
      </c>
      <c r="M30" s="4">
        <v>3</v>
      </c>
      <c r="N30" s="4" t="s">
        <v>2</v>
      </c>
      <c r="O30" s="4">
        <v>2</v>
      </c>
      <c r="P30" s="4">
        <v>196.49</v>
      </c>
    </row>
    <row r="31" spans="1:40" x14ac:dyDescent="0.2">
      <c r="A31" s="4">
        <v>50</v>
      </c>
      <c r="B31" s="4">
        <v>0</v>
      </c>
      <c r="C31" s="4">
        <v>0</v>
      </c>
      <c r="D31" s="4">
        <v>1</v>
      </c>
      <c r="E31" s="4">
        <v>231</v>
      </c>
      <c r="F31" s="4">
        <v>0</v>
      </c>
      <c r="G31" s="4" t="s">
        <v>39</v>
      </c>
      <c r="H31" s="4" t="s">
        <v>40</v>
      </c>
      <c r="I31" s="4"/>
      <c r="J31" s="4"/>
      <c r="K31" s="4">
        <v>231</v>
      </c>
      <c r="L31" s="4">
        <v>12</v>
      </c>
      <c r="M31" s="4">
        <v>3</v>
      </c>
      <c r="N31" s="4" t="s">
        <v>2</v>
      </c>
      <c r="O31" s="4">
        <v>2</v>
      </c>
      <c r="P31" s="4">
        <v>0</v>
      </c>
    </row>
    <row r="32" spans="1:40" x14ac:dyDescent="0.2">
      <c r="A32" s="4">
        <v>50</v>
      </c>
      <c r="B32" s="4">
        <v>0</v>
      </c>
      <c r="C32" s="4">
        <v>0</v>
      </c>
      <c r="D32" s="4">
        <v>1</v>
      </c>
      <c r="E32" s="4">
        <v>204</v>
      </c>
      <c r="F32" s="4">
        <v>1350.87</v>
      </c>
      <c r="G32" s="4" t="s">
        <v>41</v>
      </c>
      <c r="H32" s="4" t="s">
        <v>42</v>
      </c>
      <c r="I32" s="4"/>
      <c r="J32" s="4"/>
      <c r="K32" s="4">
        <v>204</v>
      </c>
      <c r="L32" s="4">
        <v>13</v>
      </c>
      <c r="M32" s="4">
        <v>3</v>
      </c>
      <c r="N32" s="4" t="s">
        <v>2</v>
      </c>
      <c r="O32" s="4">
        <v>2</v>
      </c>
      <c r="P32" s="4">
        <v>44.68</v>
      </c>
    </row>
    <row r="33" spans="1:16" x14ac:dyDescent="0.2">
      <c r="A33" s="4">
        <v>50</v>
      </c>
      <c r="B33" s="4">
        <v>0</v>
      </c>
      <c r="C33" s="4">
        <v>0</v>
      </c>
      <c r="D33" s="4">
        <v>1</v>
      </c>
      <c r="E33" s="4">
        <v>205</v>
      </c>
      <c r="F33" s="4">
        <v>472099.34</v>
      </c>
      <c r="G33" s="4" t="s">
        <v>43</v>
      </c>
      <c r="H33" s="4" t="s">
        <v>44</v>
      </c>
      <c r="I33" s="4"/>
      <c r="J33" s="4"/>
      <c r="K33" s="4">
        <v>205</v>
      </c>
      <c r="L33" s="4">
        <v>14</v>
      </c>
      <c r="M33" s="4">
        <v>3</v>
      </c>
      <c r="N33" s="4" t="s">
        <v>2</v>
      </c>
      <c r="O33" s="4">
        <v>2</v>
      </c>
      <c r="P33" s="4">
        <v>15611.76</v>
      </c>
    </row>
    <row r="34" spans="1:16" x14ac:dyDescent="0.2">
      <c r="A34" s="4">
        <v>50</v>
      </c>
      <c r="B34" s="4">
        <v>0</v>
      </c>
      <c r="C34" s="4">
        <v>0</v>
      </c>
      <c r="D34" s="4">
        <v>1</v>
      </c>
      <c r="E34" s="4">
        <v>232</v>
      </c>
      <c r="F34" s="4">
        <v>0</v>
      </c>
      <c r="G34" s="4" t="s">
        <v>45</v>
      </c>
      <c r="H34" s="4" t="s">
        <v>46</v>
      </c>
      <c r="I34" s="4"/>
      <c r="J34" s="4"/>
      <c r="K34" s="4">
        <v>232</v>
      </c>
      <c r="L34" s="4">
        <v>15</v>
      </c>
      <c r="M34" s="4">
        <v>3</v>
      </c>
      <c r="N34" s="4" t="s">
        <v>2</v>
      </c>
      <c r="O34" s="4">
        <v>2</v>
      </c>
      <c r="P34" s="4">
        <v>0</v>
      </c>
    </row>
    <row r="35" spans="1:16" x14ac:dyDescent="0.2">
      <c r="A35" s="4">
        <v>50</v>
      </c>
      <c r="B35" s="4">
        <v>0</v>
      </c>
      <c r="C35" s="4">
        <v>0</v>
      </c>
      <c r="D35" s="4">
        <v>1</v>
      </c>
      <c r="E35" s="4">
        <v>214</v>
      </c>
      <c r="F35" s="4">
        <v>1357043.06</v>
      </c>
      <c r="G35" s="4" t="s">
        <v>47</v>
      </c>
      <c r="H35" s="4" t="s">
        <v>48</v>
      </c>
      <c r="I35" s="4"/>
      <c r="J35" s="4"/>
      <c r="K35" s="4">
        <v>214</v>
      </c>
      <c r="L35" s="4">
        <v>16</v>
      </c>
      <c r="M35" s="4">
        <v>3</v>
      </c>
      <c r="N35" s="4" t="s">
        <v>2</v>
      </c>
      <c r="O35" s="4">
        <v>2</v>
      </c>
      <c r="P35" s="4">
        <v>49508.67</v>
      </c>
    </row>
    <row r="36" spans="1:16" x14ac:dyDescent="0.2">
      <c r="A36" s="4">
        <v>50</v>
      </c>
      <c r="B36" s="4">
        <v>0</v>
      </c>
      <c r="C36" s="4">
        <v>0</v>
      </c>
      <c r="D36" s="4">
        <v>1</v>
      </c>
      <c r="E36" s="4">
        <v>215</v>
      </c>
      <c r="F36" s="4">
        <v>0</v>
      </c>
      <c r="G36" s="4" t="s">
        <v>49</v>
      </c>
      <c r="H36" s="4" t="s">
        <v>50</v>
      </c>
      <c r="I36" s="4"/>
      <c r="J36" s="4"/>
      <c r="K36" s="4">
        <v>215</v>
      </c>
      <c r="L36" s="4">
        <v>17</v>
      </c>
      <c r="M36" s="4">
        <v>3</v>
      </c>
      <c r="N36" s="4" t="s">
        <v>2</v>
      </c>
      <c r="O36" s="4">
        <v>2</v>
      </c>
      <c r="P36" s="4">
        <v>0</v>
      </c>
    </row>
    <row r="37" spans="1:16" x14ac:dyDescent="0.2">
      <c r="A37" s="4">
        <v>50</v>
      </c>
      <c r="B37" s="4">
        <v>0</v>
      </c>
      <c r="C37" s="4">
        <v>0</v>
      </c>
      <c r="D37" s="4">
        <v>1</v>
      </c>
      <c r="E37" s="4">
        <v>217</v>
      </c>
      <c r="F37" s="4">
        <v>291000.40000000002</v>
      </c>
      <c r="G37" s="4" t="s">
        <v>51</v>
      </c>
      <c r="H37" s="4" t="s">
        <v>52</v>
      </c>
      <c r="I37" s="4"/>
      <c r="J37" s="4"/>
      <c r="K37" s="4">
        <v>217</v>
      </c>
      <c r="L37" s="4">
        <v>18</v>
      </c>
      <c r="M37" s="4">
        <v>3</v>
      </c>
      <c r="N37" s="4" t="s">
        <v>2</v>
      </c>
      <c r="O37" s="4">
        <v>2</v>
      </c>
      <c r="P37" s="4">
        <v>36882.18</v>
      </c>
    </row>
    <row r="38" spans="1:16" x14ac:dyDescent="0.2">
      <c r="A38" s="4">
        <v>50</v>
      </c>
      <c r="B38" s="4">
        <v>0</v>
      </c>
      <c r="C38" s="4">
        <v>0</v>
      </c>
      <c r="D38" s="4">
        <v>1</v>
      </c>
      <c r="E38" s="4">
        <v>230</v>
      </c>
      <c r="F38" s="4">
        <v>0</v>
      </c>
      <c r="G38" s="4" t="s">
        <v>53</v>
      </c>
      <c r="H38" s="4" t="s">
        <v>54</v>
      </c>
      <c r="I38" s="4"/>
      <c r="J38" s="4"/>
      <c r="K38" s="4">
        <v>230</v>
      </c>
      <c r="L38" s="4">
        <v>19</v>
      </c>
      <c r="M38" s="4">
        <v>3</v>
      </c>
      <c r="N38" s="4" t="s">
        <v>2</v>
      </c>
      <c r="O38" s="4">
        <v>2</v>
      </c>
      <c r="P38" s="4">
        <v>0</v>
      </c>
    </row>
    <row r="39" spans="1:16" x14ac:dyDescent="0.2">
      <c r="A39" s="4">
        <v>50</v>
      </c>
      <c r="B39" s="4">
        <v>0</v>
      </c>
      <c r="C39" s="4">
        <v>0</v>
      </c>
      <c r="D39" s="4">
        <v>1</v>
      </c>
      <c r="E39" s="4">
        <v>206</v>
      </c>
      <c r="F39" s="4">
        <v>0</v>
      </c>
      <c r="G39" s="4" t="s">
        <v>55</v>
      </c>
      <c r="H39" s="4" t="s">
        <v>56</v>
      </c>
      <c r="I39" s="4"/>
      <c r="J39" s="4"/>
      <c r="K39" s="4">
        <v>206</v>
      </c>
      <c r="L39" s="4">
        <v>20</v>
      </c>
      <c r="M39" s="4">
        <v>3</v>
      </c>
      <c r="N39" s="4" t="s">
        <v>2</v>
      </c>
      <c r="O39" s="4">
        <v>2</v>
      </c>
      <c r="P39" s="4">
        <v>0</v>
      </c>
    </row>
    <row r="40" spans="1:16" x14ac:dyDescent="0.2">
      <c r="A40" s="4">
        <v>50</v>
      </c>
      <c r="B40" s="4">
        <v>0</v>
      </c>
      <c r="C40" s="4">
        <v>0</v>
      </c>
      <c r="D40" s="4">
        <v>1</v>
      </c>
      <c r="E40" s="4">
        <v>207</v>
      </c>
      <c r="F40" s="4">
        <v>1940.9490221599999</v>
      </c>
      <c r="G40" s="4" t="s">
        <v>57</v>
      </c>
      <c r="H40" s="4" t="s">
        <v>58</v>
      </c>
      <c r="I40" s="4"/>
      <c r="J40" s="4"/>
      <c r="K40" s="4">
        <v>207</v>
      </c>
      <c r="L40" s="4">
        <v>21</v>
      </c>
      <c r="M40" s="4">
        <v>3</v>
      </c>
      <c r="N40" s="4" t="s">
        <v>2</v>
      </c>
      <c r="O40" s="4">
        <v>-1</v>
      </c>
      <c r="P40" s="4">
        <v>1940.9490221599999</v>
      </c>
    </row>
    <row r="41" spans="1:16" x14ac:dyDescent="0.2">
      <c r="A41" s="4">
        <v>50</v>
      </c>
      <c r="B41" s="4">
        <v>0</v>
      </c>
      <c r="C41" s="4">
        <v>0</v>
      </c>
      <c r="D41" s="4">
        <v>1</v>
      </c>
      <c r="E41" s="4">
        <v>208</v>
      </c>
      <c r="F41" s="4">
        <v>3.6644747999999998</v>
      </c>
      <c r="G41" s="4" t="s">
        <v>59</v>
      </c>
      <c r="H41" s="4" t="s">
        <v>60</v>
      </c>
      <c r="I41" s="4"/>
      <c r="J41" s="4"/>
      <c r="K41" s="4">
        <v>208</v>
      </c>
      <c r="L41" s="4">
        <v>22</v>
      </c>
      <c r="M41" s="4">
        <v>3</v>
      </c>
      <c r="N41" s="4" t="s">
        <v>2</v>
      </c>
      <c r="O41" s="4">
        <v>-1</v>
      </c>
      <c r="P41" s="4">
        <v>3.6644747999999998</v>
      </c>
    </row>
    <row r="42" spans="1:16" x14ac:dyDescent="0.2">
      <c r="A42" s="4">
        <v>50</v>
      </c>
      <c r="B42" s="4">
        <v>0</v>
      </c>
      <c r="C42" s="4">
        <v>0</v>
      </c>
      <c r="D42" s="4">
        <v>1</v>
      </c>
      <c r="E42" s="4">
        <v>209</v>
      </c>
      <c r="F42" s="4">
        <v>0</v>
      </c>
      <c r="G42" s="4" t="s">
        <v>61</v>
      </c>
      <c r="H42" s="4" t="s">
        <v>62</v>
      </c>
      <c r="I42" s="4"/>
      <c r="J42" s="4"/>
      <c r="K42" s="4">
        <v>209</v>
      </c>
      <c r="L42" s="4">
        <v>23</v>
      </c>
      <c r="M42" s="4">
        <v>3</v>
      </c>
      <c r="N42" s="4" t="s">
        <v>2</v>
      </c>
      <c r="O42" s="4">
        <v>2</v>
      </c>
      <c r="P42" s="4">
        <v>0</v>
      </c>
    </row>
    <row r="43" spans="1:16" x14ac:dyDescent="0.2">
      <c r="A43" s="4">
        <v>50</v>
      </c>
      <c r="B43" s="4">
        <v>0</v>
      </c>
      <c r="C43" s="4">
        <v>0</v>
      </c>
      <c r="D43" s="4">
        <v>1</v>
      </c>
      <c r="E43" s="4">
        <v>210</v>
      </c>
      <c r="F43" s="4">
        <v>499798.45</v>
      </c>
      <c r="G43" s="4" t="s">
        <v>63</v>
      </c>
      <c r="H43" s="4" t="s">
        <v>64</v>
      </c>
      <c r="I43" s="4"/>
      <c r="J43" s="4"/>
      <c r="K43" s="4">
        <v>210</v>
      </c>
      <c r="L43" s="4">
        <v>24</v>
      </c>
      <c r="M43" s="4">
        <v>3</v>
      </c>
      <c r="N43" s="4" t="s">
        <v>2</v>
      </c>
      <c r="O43" s="4">
        <v>2</v>
      </c>
      <c r="P43" s="4">
        <v>16527.740000000002</v>
      </c>
    </row>
    <row r="44" spans="1:16" x14ac:dyDescent="0.2">
      <c r="A44" s="4">
        <v>50</v>
      </c>
      <c r="B44" s="4">
        <v>0</v>
      </c>
      <c r="C44" s="4">
        <v>0</v>
      </c>
      <c r="D44" s="4">
        <v>1</v>
      </c>
      <c r="E44" s="4">
        <v>211</v>
      </c>
      <c r="F44" s="4">
        <v>303761.99</v>
      </c>
      <c r="G44" s="4" t="s">
        <v>65</v>
      </c>
      <c r="H44" s="4" t="s">
        <v>66</v>
      </c>
      <c r="I44" s="4"/>
      <c r="J44" s="4"/>
      <c r="K44" s="4">
        <v>211</v>
      </c>
      <c r="L44" s="4">
        <v>25</v>
      </c>
      <c r="M44" s="4">
        <v>3</v>
      </c>
      <c r="N44" s="4" t="s">
        <v>2</v>
      </c>
      <c r="O44" s="4">
        <v>2</v>
      </c>
      <c r="P44" s="4">
        <v>10045.049999999999</v>
      </c>
    </row>
    <row r="45" spans="1:16" x14ac:dyDescent="0.2">
      <c r="A45" s="4">
        <v>50</v>
      </c>
      <c r="B45" s="4">
        <v>0</v>
      </c>
      <c r="C45" s="4">
        <v>0</v>
      </c>
      <c r="D45" s="4">
        <v>1</v>
      </c>
      <c r="E45" s="4">
        <v>224</v>
      </c>
      <c r="F45" s="4">
        <v>1648043.46</v>
      </c>
      <c r="G45" s="4" t="s">
        <v>67</v>
      </c>
      <c r="H45" s="4" t="s">
        <v>68</v>
      </c>
      <c r="I45" s="4"/>
      <c r="J45" s="4"/>
      <c r="K45" s="4">
        <v>224</v>
      </c>
      <c r="L45" s="4">
        <v>26</v>
      </c>
      <c r="M45" s="4">
        <v>3</v>
      </c>
      <c r="N45" s="4" t="s">
        <v>2</v>
      </c>
      <c r="O45" s="4">
        <v>2</v>
      </c>
      <c r="P45" s="4">
        <v>86390.85</v>
      </c>
    </row>
    <row r="46" spans="1:16" x14ac:dyDescent="0.2">
      <c r="A46" s="4">
        <v>50</v>
      </c>
      <c r="B46" s="4">
        <v>1</v>
      </c>
      <c r="C46" s="4">
        <v>0</v>
      </c>
      <c r="D46" s="4">
        <v>2</v>
      </c>
      <c r="E46" s="4">
        <v>0</v>
      </c>
      <c r="F46" s="4">
        <v>1648043.46</v>
      </c>
      <c r="G46" s="4" t="s">
        <v>70</v>
      </c>
      <c r="H46" s="4" t="s">
        <v>70</v>
      </c>
      <c r="I46" s="4"/>
      <c r="J46" s="4"/>
      <c r="K46" s="4">
        <v>212</v>
      </c>
      <c r="L46" s="4">
        <v>27</v>
      </c>
      <c r="M46" s="4">
        <v>0</v>
      </c>
      <c r="N46" s="4" t="s">
        <v>2</v>
      </c>
      <c r="O46" s="4">
        <v>2</v>
      </c>
      <c r="P46" s="4">
        <v>86390.85</v>
      </c>
    </row>
    <row r="47" spans="1:16" x14ac:dyDescent="0.2">
      <c r="A47" s="4">
        <v>50</v>
      </c>
      <c r="B47" s="4">
        <f>IF(SourceObSm!F47&lt;&gt;0,1,0)</f>
        <v>0</v>
      </c>
      <c r="C47" s="4">
        <v>0</v>
      </c>
      <c r="D47" s="4">
        <v>2</v>
      </c>
      <c r="E47" s="4">
        <v>0</v>
      </c>
      <c r="F47" s="4">
        <v>0</v>
      </c>
      <c r="G47" s="4" t="s">
        <v>71</v>
      </c>
      <c r="H47" s="4" t="s">
        <v>72</v>
      </c>
      <c r="I47" s="4"/>
      <c r="J47" s="4"/>
      <c r="K47" s="4">
        <v>212</v>
      </c>
      <c r="L47" s="4">
        <v>28</v>
      </c>
      <c r="M47" s="4">
        <v>1</v>
      </c>
      <c r="N47" s="4" t="s">
        <v>2</v>
      </c>
      <c r="O47" s="4">
        <v>2</v>
      </c>
      <c r="P47" s="4">
        <v>0</v>
      </c>
    </row>
    <row r="48" spans="1:16" x14ac:dyDescent="0.2">
      <c r="A48" s="4">
        <v>50</v>
      </c>
      <c r="B48" s="4">
        <f>IF(SourceObSm!F48&lt;&gt;0,1,0)</f>
        <v>1</v>
      </c>
      <c r="C48" s="4">
        <v>0</v>
      </c>
      <c r="D48" s="4">
        <v>2</v>
      </c>
      <c r="E48" s="4">
        <v>0</v>
      </c>
      <c r="F48" s="4">
        <v>291000.40000000002</v>
      </c>
      <c r="G48" s="4" t="s">
        <v>73</v>
      </c>
      <c r="H48" s="4" t="s">
        <v>74</v>
      </c>
      <c r="I48" s="4"/>
      <c r="J48" s="4"/>
      <c r="K48" s="4">
        <v>212</v>
      </c>
      <c r="L48" s="4">
        <v>29</v>
      </c>
      <c r="M48" s="4">
        <v>1</v>
      </c>
      <c r="N48" s="4" t="s">
        <v>2</v>
      </c>
      <c r="O48" s="4">
        <v>2</v>
      </c>
      <c r="P48" s="4">
        <v>36882.18</v>
      </c>
    </row>
    <row r="49" spans="1:27" x14ac:dyDescent="0.2">
      <c r="A49" s="4">
        <v>50</v>
      </c>
      <c r="B49" s="4">
        <v>1</v>
      </c>
      <c r="C49" s="4">
        <v>0</v>
      </c>
      <c r="D49" s="4">
        <v>2</v>
      </c>
      <c r="E49" s="4">
        <v>0</v>
      </c>
      <c r="F49" s="4">
        <v>1648043.46</v>
      </c>
      <c r="G49" s="4" t="s">
        <v>76</v>
      </c>
      <c r="H49" s="4" t="s">
        <v>70</v>
      </c>
      <c r="I49" s="4"/>
      <c r="J49" s="4"/>
      <c r="K49" s="4">
        <v>212</v>
      </c>
      <c r="L49" s="4">
        <v>30</v>
      </c>
      <c r="M49" s="4">
        <v>0</v>
      </c>
      <c r="N49" s="4" t="s">
        <v>2</v>
      </c>
      <c r="O49" s="4">
        <v>2</v>
      </c>
      <c r="P49" s="4">
        <v>86390.85</v>
      </c>
    </row>
    <row r="50" spans="1:27" x14ac:dyDescent="0.2">
      <c r="A50" s="4">
        <v>50</v>
      </c>
      <c r="B50" s="4">
        <v>1</v>
      </c>
      <c r="C50" s="4">
        <v>0</v>
      </c>
      <c r="D50" s="4">
        <v>2</v>
      </c>
      <c r="E50" s="4">
        <v>0</v>
      </c>
      <c r="F50" s="4">
        <v>329608.69</v>
      </c>
      <c r="G50" s="4" t="s">
        <v>77</v>
      </c>
      <c r="H50" s="4" t="s">
        <v>78</v>
      </c>
      <c r="I50" s="4"/>
      <c r="J50" s="4"/>
      <c r="K50" s="4">
        <v>212</v>
      </c>
      <c r="L50" s="4">
        <v>31</v>
      </c>
      <c r="M50" s="4">
        <v>0</v>
      </c>
      <c r="N50" s="4" t="s">
        <v>2</v>
      </c>
      <c r="O50" s="4">
        <v>2</v>
      </c>
      <c r="P50" s="4">
        <v>17278.169999999998</v>
      </c>
    </row>
    <row r="51" spans="1:27" x14ac:dyDescent="0.2">
      <c r="A51" s="4">
        <v>50</v>
      </c>
      <c r="B51" s="4">
        <v>1</v>
      </c>
      <c r="C51" s="4">
        <v>0</v>
      </c>
      <c r="D51" s="4">
        <v>2</v>
      </c>
      <c r="E51" s="4">
        <v>0</v>
      </c>
      <c r="F51" s="4">
        <v>1977652.15</v>
      </c>
      <c r="G51" s="4" t="s">
        <v>79</v>
      </c>
      <c r="H51" s="4" t="s">
        <v>80</v>
      </c>
      <c r="I51" s="4"/>
      <c r="J51" s="4"/>
      <c r="K51" s="4">
        <v>212</v>
      </c>
      <c r="L51" s="4">
        <v>32</v>
      </c>
      <c r="M51" s="4">
        <v>0</v>
      </c>
      <c r="N51" s="4" t="s">
        <v>2</v>
      </c>
      <c r="O51" s="4">
        <v>2</v>
      </c>
      <c r="P51" s="4">
        <v>103669.02</v>
      </c>
    </row>
    <row r="53" spans="1:27" x14ac:dyDescent="0.2">
      <c r="A53">
        <v>-1</v>
      </c>
    </row>
    <row r="56" spans="1:27" x14ac:dyDescent="0.2">
      <c r="A56" s="3">
        <v>75</v>
      </c>
      <c r="B56" s="3" t="s">
        <v>81</v>
      </c>
      <c r="C56" s="3">
        <v>2019</v>
      </c>
      <c r="D56" s="3">
        <v>0</v>
      </c>
      <c r="E56" s="3">
        <v>7</v>
      </c>
      <c r="F56" s="3">
        <v>0</v>
      </c>
      <c r="G56" s="3">
        <v>0</v>
      </c>
      <c r="H56" s="3">
        <v>1</v>
      </c>
      <c r="I56" s="3">
        <v>0</v>
      </c>
      <c r="J56" s="3">
        <v>3</v>
      </c>
      <c r="K56" s="3">
        <v>0</v>
      </c>
      <c r="L56" s="3">
        <v>0</v>
      </c>
      <c r="M56" s="3">
        <v>1</v>
      </c>
      <c r="N56" s="3">
        <v>49290730</v>
      </c>
      <c r="O56" s="3">
        <v>1</v>
      </c>
    </row>
    <row r="57" spans="1:27" x14ac:dyDescent="0.2">
      <c r="A57" s="5">
        <v>1</v>
      </c>
      <c r="B57" s="5" t="s">
        <v>82</v>
      </c>
      <c r="C57" s="5" t="s">
        <v>83</v>
      </c>
      <c r="D57" s="5">
        <v>2019</v>
      </c>
      <c r="E57" s="5">
        <v>7</v>
      </c>
      <c r="F57" s="5">
        <v>1</v>
      </c>
      <c r="G57" s="5">
        <v>1</v>
      </c>
      <c r="H57" s="5">
        <v>0</v>
      </c>
      <c r="I57" s="5">
        <v>2</v>
      </c>
      <c r="J57" s="5">
        <v>1</v>
      </c>
      <c r="K57" s="5">
        <v>1</v>
      </c>
      <c r="L57" s="5">
        <v>1</v>
      </c>
      <c r="M57" s="5">
        <v>7.89</v>
      </c>
      <c r="N57" s="5">
        <v>1</v>
      </c>
      <c r="O57" s="5">
        <v>1</v>
      </c>
      <c r="P57" s="5">
        <v>1</v>
      </c>
      <c r="Q57" s="5">
        <v>7.89</v>
      </c>
      <c r="R57" s="5" t="s">
        <v>2</v>
      </c>
      <c r="S57" s="5" t="s">
        <v>2</v>
      </c>
      <c r="T57" s="5" t="s">
        <v>2</v>
      </c>
      <c r="U57" s="5" t="s">
        <v>2</v>
      </c>
      <c r="V57" s="5" t="s">
        <v>2</v>
      </c>
      <c r="W57" s="5" t="s">
        <v>2</v>
      </c>
      <c r="X57" s="5" t="s">
        <v>2</v>
      </c>
      <c r="Y57" s="5" t="s">
        <v>2</v>
      </c>
      <c r="Z57" s="5" t="s">
        <v>2</v>
      </c>
      <c r="AA57" s="5" t="s">
        <v>2</v>
      </c>
    </row>
    <row r="58" spans="1:27" x14ac:dyDescent="0.2">
      <c r="A58" s="3">
        <v>75</v>
      </c>
      <c r="B58" s="3" t="s">
        <v>84</v>
      </c>
      <c r="C58" s="3">
        <v>2000</v>
      </c>
      <c r="D58" s="3">
        <v>0</v>
      </c>
      <c r="E58" s="3">
        <v>1</v>
      </c>
      <c r="F58" s="3"/>
      <c r="G58" s="3">
        <v>0</v>
      </c>
      <c r="H58" s="3">
        <v>1</v>
      </c>
      <c r="I58" s="3">
        <v>0</v>
      </c>
      <c r="J58" s="3">
        <v>3</v>
      </c>
      <c r="K58" s="3">
        <v>0</v>
      </c>
      <c r="L58" s="3">
        <v>0</v>
      </c>
      <c r="M58" s="3">
        <v>0</v>
      </c>
      <c r="N58" s="3">
        <v>49290729</v>
      </c>
      <c r="O58" s="3">
        <v>2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 t="e">
        <f>ROW(#REF!)</f>
        <v>#REF!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86</v>
      </c>
      <c r="J1" t="s">
        <v>2</v>
      </c>
      <c r="K1" t="s">
        <v>87</v>
      </c>
      <c r="L1">
        <v>1191</v>
      </c>
      <c r="N1">
        <v>1013</v>
      </c>
      <c r="O1" t="s">
        <v>88</v>
      </c>
      <c r="P1" t="s">
        <v>88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2</v>
      </c>
      <c r="AT1">
        <v>29.52</v>
      </c>
      <c r="AU1" t="s">
        <v>2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 t="e">
        <f>Y1*#REF!</f>
        <v>#REF!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 t="e">
        <f>ROW(#REF!)</f>
        <v>#REF!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86</v>
      </c>
      <c r="J2" t="s">
        <v>2</v>
      </c>
      <c r="K2" t="s">
        <v>87</v>
      </c>
      <c r="L2">
        <v>1191</v>
      </c>
      <c r="N2">
        <v>1013</v>
      </c>
      <c r="O2" t="s">
        <v>88</v>
      </c>
      <c r="P2" t="s">
        <v>88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2</v>
      </c>
      <c r="AT2">
        <v>29.52</v>
      </c>
      <c r="AU2" t="s">
        <v>2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 t="e">
        <f>Y2*#REF!</f>
        <v>#REF!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 t="e">
        <f>ROW(#REF!)</f>
        <v>#REF!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86</v>
      </c>
      <c r="J3" t="s">
        <v>2</v>
      </c>
      <c r="K3" t="s">
        <v>87</v>
      </c>
      <c r="L3">
        <v>1191</v>
      </c>
      <c r="N3">
        <v>1013</v>
      </c>
      <c r="O3" t="s">
        <v>88</v>
      </c>
      <c r="P3" t="s">
        <v>88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2</v>
      </c>
      <c r="AT3">
        <v>22.82</v>
      </c>
      <c r="AU3" t="s">
        <v>14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 t="e">
        <f>Y3*#REF!</f>
        <v>#REF!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 t="e">
        <f>ROW(#REF!)</f>
        <v>#REF!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86</v>
      </c>
      <c r="J4" t="s">
        <v>2</v>
      </c>
      <c r="K4" t="s">
        <v>87</v>
      </c>
      <c r="L4">
        <v>1191</v>
      </c>
      <c r="N4">
        <v>1013</v>
      </c>
      <c r="O4" t="s">
        <v>88</v>
      </c>
      <c r="P4" t="s">
        <v>88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2</v>
      </c>
      <c r="AT4">
        <v>22.82</v>
      </c>
      <c r="AU4" t="s">
        <v>14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 t="e">
        <f>Y4*#REF!</f>
        <v>#REF!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 t="e">
        <f>ROW(#REF!)</f>
        <v>#REF!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89</v>
      </c>
      <c r="J5" t="s">
        <v>2</v>
      </c>
      <c r="K5" t="s">
        <v>90</v>
      </c>
      <c r="L5">
        <v>1191</v>
      </c>
      <c r="N5">
        <v>1013</v>
      </c>
      <c r="O5" t="s">
        <v>88</v>
      </c>
      <c r="P5" t="s">
        <v>88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2</v>
      </c>
      <c r="AT5">
        <v>24.98</v>
      </c>
      <c r="AU5" t="s">
        <v>16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 t="e">
        <f>Y5*#REF!</f>
        <v>#REF!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 t="e">
        <f>ROW(#REF!)</f>
        <v>#REF!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91</v>
      </c>
      <c r="J6" t="s">
        <v>2</v>
      </c>
      <c r="K6" t="s">
        <v>92</v>
      </c>
      <c r="L6">
        <v>1191</v>
      </c>
      <c r="N6">
        <v>1013</v>
      </c>
      <c r="O6" t="s">
        <v>88</v>
      </c>
      <c r="P6" t="s">
        <v>88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2</v>
      </c>
      <c r="AT6">
        <v>0.21</v>
      </c>
      <c r="AU6" t="s">
        <v>2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 t="e">
        <f>Y6*#REF!</f>
        <v>#REF!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 t="e">
        <f>ROW(#REF!)</f>
        <v>#REF!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93</v>
      </c>
      <c r="J7" t="s">
        <v>94</v>
      </c>
      <c r="K7" t="s">
        <v>95</v>
      </c>
      <c r="L7">
        <v>1368</v>
      </c>
      <c r="N7">
        <v>1011</v>
      </c>
      <c r="O7" t="s">
        <v>96</v>
      </c>
      <c r="P7" t="s">
        <v>96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2</v>
      </c>
      <c r="AT7">
        <v>0.08</v>
      </c>
      <c r="AU7" t="s">
        <v>16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 t="e">
        <f>Y7*#REF!</f>
        <v>#REF!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 t="e">
        <f>ROW(#REF!)</f>
        <v>#REF!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97</v>
      </c>
      <c r="J8" t="s">
        <v>98</v>
      </c>
      <c r="K8" t="s">
        <v>99</v>
      </c>
      <c r="L8">
        <v>1368</v>
      </c>
      <c r="N8">
        <v>1011</v>
      </c>
      <c r="O8" t="s">
        <v>96</v>
      </c>
      <c r="P8" t="s">
        <v>96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2</v>
      </c>
      <c r="AT8">
        <v>0.13</v>
      </c>
      <c r="AU8" t="s">
        <v>16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 t="e">
        <f>Y8*#REF!</f>
        <v>#REF!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 t="e">
        <f>ROW(#REF!)</f>
        <v>#REF!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100</v>
      </c>
      <c r="J9" t="s">
        <v>101</v>
      </c>
      <c r="K9" t="s">
        <v>102</v>
      </c>
      <c r="L9">
        <v>1348</v>
      </c>
      <c r="N9">
        <v>1009</v>
      </c>
      <c r="O9" t="s">
        <v>69</v>
      </c>
      <c r="P9" t="s">
        <v>69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2</v>
      </c>
      <c r="AT9">
        <v>1.2999999999999999E-3</v>
      </c>
      <c r="AU9" t="s">
        <v>15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 t="e">
        <f>Y9*#REF!</f>
        <v>#REF!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 t="e">
        <f>ROW(#REF!)</f>
        <v>#REF!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103</v>
      </c>
      <c r="J10" t="s">
        <v>104</v>
      </c>
      <c r="K10" t="s">
        <v>105</v>
      </c>
      <c r="L10">
        <v>1348</v>
      </c>
      <c r="N10">
        <v>1009</v>
      </c>
      <c r="O10" t="s">
        <v>69</v>
      </c>
      <c r="P10" t="s">
        <v>69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2</v>
      </c>
      <c r="AT10">
        <v>0.36</v>
      </c>
      <c r="AU10" t="s">
        <v>15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 t="e">
        <f>Y10*#REF!</f>
        <v>#REF!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 t="e">
        <f>ROW(#REF!)</f>
        <v>#REF!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89</v>
      </c>
      <c r="J11" t="s">
        <v>2</v>
      </c>
      <c r="K11" t="s">
        <v>90</v>
      </c>
      <c r="L11">
        <v>1191</v>
      </c>
      <c r="N11">
        <v>1013</v>
      </c>
      <c r="O11" t="s">
        <v>88</v>
      </c>
      <c r="P11" t="s">
        <v>88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2</v>
      </c>
      <c r="AT11">
        <v>24.98</v>
      </c>
      <c r="AU11" t="s">
        <v>16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 t="e">
        <f>Y11*#REF!</f>
        <v>#REF!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 t="e">
        <f>ROW(#REF!)</f>
        <v>#REF!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91</v>
      </c>
      <c r="J12" t="s">
        <v>2</v>
      </c>
      <c r="K12" t="s">
        <v>92</v>
      </c>
      <c r="L12">
        <v>1191</v>
      </c>
      <c r="N12">
        <v>1013</v>
      </c>
      <c r="O12" t="s">
        <v>88</v>
      </c>
      <c r="P12" t="s">
        <v>88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2</v>
      </c>
      <c r="AT12">
        <v>0.21</v>
      </c>
      <c r="AU12" t="s">
        <v>2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 t="e">
        <f>Y12*#REF!</f>
        <v>#REF!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 t="e">
        <f>ROW(#REF!)</f>
        <v>#REF!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93</v>
      </c>
      <c r="J13" t="s">
        <v>94</v>
      </c>
      <c r="K13" t="s">
        <v>95</v>
      </c>
      <c r="L13">
        <v>1368</v>
      </c>
      <c r="N13">
        <v>1011</v>
      </c>
      <c r="O13" t="s">
        <v>96</v>
      </c>
      <c r="P13" t="s">
        <v>96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2</v>
      </c>
      <c r="AT13">
        <v>0.08</v>
      </c>
      <c r="AU13" t="s">
        <v>16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 t="e">
        <f>Y13*#REF!</f>
        <v>#REF!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 t="e">
        <f>ROW(#REF!)</f>
        <v>#REF!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97</v>
      </c>
      <c r="J14" t="s">
        <v>98</v>
      </c>
      <c r="K14" t="s">
        <v>99</v>
      </c>
      <c r="L14">
        <v>1368</v>
      </c>
      <c r="N14">
        <v>1011</v>
      </c>
      <c r="O14" t="s">
        <v>96</v>
      </c>
      <c r="P14" t="s">
        <v>96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2</v>
      </c>
      <c r="AT14">
        <v>0.13</v>
      </c>
      <c r="AU14" t="s">
        <v>16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 t="e">
        <f>Y14*#REF!</f>
        <v>#REF!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 t="e">
        <f>ROW(#REF!)</f>
        <v>#REF!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100</v>
      </c>
      <c r="J15" t="s">
        <v>101</v>
      </c>
      <c r="K15" t="s">
        <v>102</v>
      </c>
      <c r="L15">
        <v>1348</v>
      </c>
      <c r="N15">
        <v>1009</v>
      </c>
      <c r="O15" t="s">
        <v>69</v>
      </c>
      <c r="P15" t="s">
        <v>69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2</v>
      </c>
      <c r="AT15">
        <v>1.2999999999999999E-3</v>
      </c>
      <c r="AU15" t="s">
        <v>15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 t="e">
        <f>Y15*#REF!</f>
        <v>#REF!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 t="e">
        <f>ROW(#REF!)</f>
        <v>#REF!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103</v>
      </c>
      <c r="J16" t="s">
        <v>104</v>
      </c>
      <c r="K16" t="s">
        <v>105</v>
      </c>
      <c r="L16">
        <v>1348</v>
      </c>
      <c r="N16">
        <v>1009</v>
      </c>
      <c r="O16" t="s">
        <v>69</v>
      </c>
      <c r="P16" t="s">
        <v>69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2</v>
      </c>
      <c r="AT16">
        <v>0.36</v>
      </c>
      <c r="AU16" t="s">
        <v>15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 t="e">
        <f>Y16*#REF!</f>
        <v>#REF!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 t="e">
        <f>ROW(#REF!)</f>
        <v>#REF!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86</v>
      </c>
      <c r="J17" t="s">
        <v>2</v>
      </c>
      <c r="K17" t="s">
        <v>87</v>
      </c>
      <c r="L17">
        <v>1191</v>
      </c>
      <c r="N17">
        <v>1013</v>
      </c>
      <c r="O17" t="s">
        <v>88</v>
      </c>
      <c r="P17" t="s">
        <v>88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2</v>
      </c>
      <c r="AT17">
        <v>29.52</v>
      </c>
      <c r="AU17" t="s">
        <v>2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 t="e">
        <f>Y17*#REF!</f>
        <v>#REF!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 t="e">
        <f>ROW(#REF!)</f>
        <v>#REF!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86</v>
      </c>
      <c r="J18" t="s">
        <v>2</v>
      </c>
      <c r="K18" t="s">
        <v>87</v>
      </c>
      <c r="L18">
        <v>1191</v>
      </c>
      <c r="N18">
        <v>1013</v>
      </c>
      <c r="O18" t="s">
        <v>88</v>
      </c>
      <c r="P18" t="s">
        <v>88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2</v>
      </c>
      <c r="AT18">
        <v>29.52</v>
      </c>
      <c r="AU18" t="s">
        <v>2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 t="e">
        <f>Y18*#REF!</f>
        <v>#REF!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 t="e">
        <f>ROW(#REF!)</f>
        <v>#REF!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86</v>
      </c>
      <c r="J19" t="s">
        <v>2</v>
      </c>
      <c r="K19" t="s">
        <v>87</v>
      </c>
      <c r="L19">
        <v>1191</v>
      </c>
      <c r="N19">
        <v>1013</v>
      </c>
      <c r="O19" t="s">
        <v>88</v>
      </c>
      <c r="P19" t="s">
        <v>88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2</v>
      </c>
      <c r="AT19">
        <v>22.82</v>
      </c>
      <c r="AU19" t="s">
        <v>14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 t="e">
        <f>Y19*#REF!</f>
        <v>#REF!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 t="e">
        <f>ROW(#REF!)</f>
        <v>#REF!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86</v>
      </c>
      <c r="J20" t="s">
        <v>2</v>
      </c>
      <c r="K20" t="s">
        <v>87</v>
      </c>
      <c r="L20">
        <v>1191</v>
      </c>
      <c r="N20">
        <v>1013</v>
      </c>
      <c r="O20" t="s">
        <v>88</v>
      </c>
      <c r="P20" t="s">
        <v>88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2</v>
      </c>
      <c r="AT20">
        <v>22.82</v>
      </c>
      <c r="AU20" t="s">
        <v>14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 t="e">
        <f>Y20*#REF!</f>
        <v>#REF!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 t="e">
        <f>ROW(#REF!)</f>
        <v>#REF!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89</v>
      </c>
      <c r="J21" t="s">
        <v>2</v>
      </c>
      <c r="K21" t="s">
        <v>90</v>
      </c>
      <c r="L21">
        <v>1191</v>
      </c>
      <c r="N21">
        <v>1013</v>
      </c>
      <c r="O21" t="s">
        <v>88</v>
      </c>
      <c r="P21" t="s">
        <v>88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2</v>
      </c>
      <c r="AT21">
        <v>24.98</v>
      </c>
      <c r="AU21" t="s">
        <v>16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 t="e">
        <f>Y21*#REF!</f>
        <v>#REF!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 t="e">
        <f>ROW(#REF!)</f>
        <v>#REF!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91</v>
      </c>
      <c r="J22" t="s">
        <v>2</v>
      </c>
      <c r="K22" t="s">
        <v>92</v>
      </c>
      <c r="L22">
        <v>1191</v>
      </c>
      <c r="N22">
        <v>1013</v>
      </c>
      <c r="O22" t="s">
        <v>88</v>
      </c>
      <c r="P22" t="s">
        <v>88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2</v>
      </c>
      <c r="AT22">
        <v>0.21</v>
      </c>
      <c r="AU22" t="s">
        <v>2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 t="e">
        <f>Y22*#REF!</f>
        <v>#REF!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 t="e">
        <f>ROW(#REF!)</f>
        <v>#REF!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93</v>
      </c>
      <c r="J23" t="s">
        <v>94</v>
      </c>
      <c r="K23" t="s">
        <v>95</v>
      </c>
      <c r="L23">
        <v>1368</v>
      </c>
      <c r="N23">
        <v>1011</v>
      </c>
      <c r="O23" t="s">
        <v>96</v>
      </c>
      <c r="P23" t="s">
        <v>96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2</v>
      </c>
      <c r="AT23">
        <v>0.08</v>
      </c>
      <c r="AU23" t="s">
        <v>16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 t="e">
        <f>Y23*#REF!</f>
        <v>#REF!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 t="e">
        <f>ROW(#REF!)</f>
        <v>#REF!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97</v>
      </c>
      <c r="J24" t="s">
        <v>98</v>
      </c>
      <c r="K24" t="s">
        <v>99</v>
      </c>
      <c r="L24">
        <v>1368</v>
      </c>
      <c r="N24">
        <v>1011</v>
      </c>
      <c r="O24" t="s">
        <v>96</v>
      </c>
      <c r="P24" t="s">
        <v>96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2</v>
      </c>
      <c r="AT24">
        <v>0.13</v>
      </c>
      <c r="AU24" t="s">
        <v>16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 t="e">
        <f>Y24*#REF!</f>
        <v>#REF!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 t="e">
        <f>ROW(#REF!)</f>
        <v>#REF!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100</v>
      </c>
      <c r="J25" t="s">
        <v>101</v>
      </c>
      <c r="K25" t="s">
        <v>102</v>
      </c>
      <c r="L25">
        <v>1348</v>
      </c>
      <c r="N25">
        <v>1009</v>
      </c>
      <c r="O25" t="s">
        <v>69</v>
      </c>
      <c r="P25" t="s">
        <v>69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2</v>
      </c>
      <c r="AT25">
        <v>1.2999999999999999E-3</v>
      </c>
      <c r="AU25" t="s">
        <v>15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 t="e">
        <f>Y25*#REF!</f>
        <v>#REF!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 t="e">
        <f>ROW(#REF!)</f>
        <v>#REF!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103</v>
      </c>
      <c r="J26" t="s">
        <v>104</v>
      </c>
      <c r="K26" t="s">
        <v>105</v>
      </c>
      <c r="L26">
        <v>1348</v>
      </c>
      <c r="N26">
        <v>1009</v>
      </c>
      <c r="O26" t="s">
        <v>69</v>
      </c>
      <c r="P26" t="s">
        <v>69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2</v>
      </c>
      <c r="AT26">
        <v>0.36</v>
      </c>
      <c r="AU26" t="s">
        <v>15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 t="e">
        <f>Y26*#REF!</f>
        <v>#REF!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 t="e">
        <f>ROW(#REF!)</f>
        <v>#REF!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89</v>
      </c>
      <c r="J27" t="s">
        <v>2</v>
      </c>
      <c r="K27" t="s">
        <v>90</v>
      </c>
      <c r="L27">
        <v>1191</v>
      </c>
      <c r="N27">
        <v>1013</v>
      </c>
      <c r="O27" t="s">
        <v>88</v>
      </c>
      <c r="P27" t="s">
        <v>88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2</v>
      </c>
      <c r="AT27">
        <v>24.98</v>
      </c>
      <c r="AU27" t="s">
        <v>16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 t="e">
        <f>Y27*#REF!</f>
        <v>#REF!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 t="e">
        <f>ROW(#REF!)</f>
        <v>#REF!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91</v>
      </c>
      <c r="J28" t="s">
        <v>2</v>
      </c>
      <c r="K28" t="s">
        <v>92</v>
      </c>
      <c r="L28">
        <v>1191</v>
      </c>
      <c r="N28">
        <v>1013</v>
      </c>
      <c r="O28" t="s">
        <v>88</v>
      </c>
      <c r="P28" t="s">
        <v>88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2</v>
      </c>
      <c r="AT28">
        <v>0.21</v>
      </c>
      <c r="AU28" t="s">
        <v>2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 t="e">
        <f>Y28*#REF!</f>
        <v>#REF!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 t="e">
        <f>ROW(#REF!)</f>
        <v>#REF!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93</v>
      </c>
      <c r="J29" t="s">
        <v>94</v>
      </c>
      <c r="K29" t="s">
        <v>95</v>
      </c>
      <c r="L29">
        <v>1368</v>
      </c>
      <c r="N29">
        <v>1011</v>
      </c>
      <c r="O29" t="s">
        <v>96</v>
      </c>
      <c r="P29" t="s">
        <v>96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2</v>
      </c>
      <c r="AT29">
        <v>0.08</v>
      </c>
      <c r="AU29" t="s">
        <v>16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 t="e">
        <f>Y29*#REF!</f>
        <v>#REF!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 t="e">
        <f>ROW(#REF!)</f>
        <v>#REF!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97</v>
      </c>
      <c r="J30" t="s">
        <v>98</v>
      </c>
      <c r="K30" t="s">
        <v>99</v>
      </c>
      <c r="L30">
        <v>1368</v>
      </c>
      <c r="N30">
        <v>1011</v>
      </c>
      <c r="O30" t="s">
        <v>96</v>
      </c>
      <c r="P30" t="s">
        <v>96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2</v>
      </c>
      <c r="AT30">
        <v>0.13</v>
      </c>
      <c r="AU30" t="s">
        <v>16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 t="e">
        <f>Y30*#REF!</f>
        <v>#REF!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 t="e">
        <f>ROW(#REF!)</f>
        <v>#REF!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100</v>
      </c>
      <c r="J31" t="s">
        <v>101</v>
      </c>
      <c r="K31" t="s">
        <v>102</v>
      </c>
      <c r="L31">
        <v>1348</v>
      </c>
      <c r="N31">
        <v>1009</v>
      </c>
      <c r="O31" t="s">
        <v>69</v>
      </c>
      <c r="P31" t="s">
        <v>69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2</v>
      </c>
      <c r="AT31">
        <v>1.2999999999999999E-3</v>
      </c>
      <c r="AU31" t="s">
        <v>15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 t="e">
        <f>Y31*#REF!</f>
        <v>#REF!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 t="e">
        <f>ROW(#REF!)</f>
        <v>#REF!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103</v>
      </c>
      <c r="J32" t="s">
        <v>104</v>
      </c>
      <c r="K32" t="s">
        <v>105</v>
      </c>
      <c r="L32">
        <v>1348</v>
      </c>
      <c r="N32">
        <v>1009</v>
      </c>
      <c r="O32" t="s">
        <v>69</v>
      </c>
      <c r="P32" t="s">
        <v>69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2</v>
      </c>
      <c r="AT32">
        <v>0.36</v>
      </c>
      <c r="AU32" t="s">
        <v>15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 t="e">
        <f>Y32*#REF!</f>
        <v>#REF!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 t="e">
        <f>ROW(#REF!)</f>
        <v>#REF!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106</v>
      </c>
      <c r="J33" t="s">
        <v>2</v>
      </c>
      <c r="K33" t="s">
        <v>107</v>
      </c>
      <c r="L33">
        <v>1191</v>
      </c>
      <c r="N33">
        <v>1013</v>
      </c>
      <c r="O33" t="s">
        <v>88</v>
      </c>
      <c r="P33" t="s">
        <v>88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2</v>
      </c>
      <c r="AT33">
        <v>1.03</v>
      </c>
      <c r="AU33" t="s">
        <v>2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 t="e">
        <f>Y33*#REF!</f>
        <v>#REF!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 t="e">
        <f>ROW(#REF!)</f>
        <v>#REF!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108</v>
      </c>
      <c r="J34" t="s">
        <v>109</v>
      </c>
      <c r="K34" t="s">
        <v>110</v>
      </c>
      <c r="L34">
        <v>1355</v>
      </c>
      <c r="N34">
        <v>1010</v>
      </c>
      <c r="O34" t="s">
        <v>111</v>
      </c>
      <c r="P34" t="s">
        <v>111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2</v>
      </c>
      <c r="AT34">
        <v>0.2</v>
      </c>
      <c r="AU34" t="s">
        <v>2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 t="e">
        <f>Y34*#REF!</f>
        <v>#REF!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 t="e">
        <f>ROW(#REF!)</f>
        <v>#REF!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106</v>
      </c>
      <c r="J35" t="s">
        <v>2</v>
      </c>
      <c r="K35" t="s">
        <v>107</v>
      </c>
      <c r="L35">
        <v>1191</v>
      </c>
      <c r="N35">
        <v>1013</v>
      </c>
      <c r="O35" t="s">
        <v>88</v>
      </c>
      <c r="P35" t="s">
        <v>88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2</v>
      </c>
      <c r="AT35">
        <v>1.03</v>
      </c>
      <c r="AU35" t="s">
        <v>2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 t="e">
        <f>Y35*#REF!</f>
        <v>#REF!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 t="e">
        <f>ROW(#REF!)</f>
        <v>#REF!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108</v>
      </c>
      <c r="J36" t="s">
        <v>109</v>
      </c>
      <c r="K36" t="s">
        <v>110</v>
      </c>
      <c r="L36">
        <v>1355</v>
      </c>
      <c r="N36">
        <v>1010</v>
      </c>
      <c r="O36" t="s">
        <v>111</v>
      </c>
      <c r="P36" t="s">
        <v>111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2</v>
      </c>
      <c r="AT36">
        <v>0.2</v>
      </c>
      <c r="AU36" t="s">
        <v>2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 t="e">
        <f>Y36*#REF!</f>
        <v>#REF!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 t="e">
        <f>ROW(#REF!)</f>
        <v>#REF!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86</v>
      </c>
      <c r="J1" t="s">
        <v>2</v>
      </c>
      <c r="K1" t="s">
        <v>87</v>
      </c>
      <c r="L1">
        <v>1191</v>
      </c>
      <c r="N1">
        <v>1013</v>
      </c>
      <c r="O1" t="s">
        <v>88</v>
      </c>
      <c r="P1" t="s">
        <v>88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2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 t="e">
        <f>ROW(#REF!)</f>
        <v>#REF!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86</v>
      </c>
      <c r="J2" t="s">
        <v>2</v>
      </c>
      <c r="K2" t="s">
        <v>87</v>
      </c>
      <c r="L2">
        <v>1191</v>
      </c>
      <c r="N2">
        <v>1013</v>
      </c>
      <c r="O2" t="s">
        <v>88</v>
      </c>
      <c r="P2" t="s">
        <v>88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2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 t="e">
        <f>ROW(#REF!)</f>
        <v>#REF!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86</v>
      </c>
      <c r="J3" t="s">
        <v>2</v>
      </c>
      <c r="K3" t="s">
        <v>87</v>
      </c>
      <c r="L3">
        <v>1191</v>
      </c>
      <c r="N3">
        <v>1013</v>
      </c>
      <c r="O3" t="s">
        <v>88</v>
      </c>
      <c r="P3" t="s">
        <v>88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14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 t="e">
        <f>ROW(#REF!)</f>
        <v>#REF!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86</v>
      </c>
      <c r="J4" t="s">
        <v>2</v>
      </c>
      <c r="K4" t="s">
        <v>87</v>
      </c>
      <c r="L4">
        <v>1191</v>
      </c>
      <c r="N4">
        <v>1013</v>
      </c>
      <c r="O4" t="s">
        <v>88</v>
      </c>
      <c r="P4" t="s">
        <v>88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14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 t="e">
        <f>ROW(#REF!)</f>
        <v>#REF!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89</v>
      </c>
      <c r="J5" t="s">
        <v>2</v>
      </c>
      <c r="K5" t="s">
        <v>90</v>
      </c>
      <c r="L5">
        <v>1191</v>
      </c>
      <c r="N5">
        <v>1013</v>
      </c>
      <c r="O5" t="s">
        <v>88</v>
      </c>
      <c r="P5" t="s">
        <v>88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16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 t="e">
        <f>ROW(#REF!)</f>
        <v>#REF!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91</v>
      </c>
      <c r="J6" t="s">
        <v>2</v>
      </c>
      <c r="K6" t="s">
        <v>92</v>
      </c>
      <c r="L6">
        <v>1191</v>
      </c>
      <c r="N6">
        <v>1013</v>
      </c>
      <c r="O6" t="s">
        <v>88</v>
      </c>
      <c r="P6" t="s">
        <v>88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16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 t="e">
        <f>ROW(#REF!)</f>
        <v>#REF!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93</v>
      </c>
      <c r="J7" t="s">
        <v>94</v>
      </c>
      <c r="K7" t="s">
        <v>95</v>
      </c>
      <c r="L7">
        <v>1368</v>
      </c>
      <c r="N7">
        <v>1011</v>
      </c>
      <c r="O7" t="s">
        <v>96</v>
      </c>
      <c r="P7" t="s">
        <v>96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16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 t="e">
        <f>ROW(#REF!)</f>
        <v>#REF!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97</v>
      </c>
      <c r="J8" t="s">
        <v>98</v>
      </c>
      <c r="K8" t="s">
        <v>99</v>
      </c>
      <c r="L8">
        <v>1368</v>
      </c>
      <c r="N8">
        <v>1011</v>
      </c>
      <c r="O8" t="s">
        <v>96</v>
      </c>
      <c r="P8" t="s">
        <v>96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16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 t="e">
        <f>ROW(#REF!)</f>
        <v>#REF!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100</v>
      </c>
      <c r="J9" t="s">
        <v>101</v>
      </c>
      <c r="K9" t="s">
        <v>102</v>
      </c>
      <c r="L9">
        <v>1348</v>
      </c>
      <c r="N9">
        <v>1009</v>
      </c>
      <c r="O9" t="s">
        <v>69</v>
      </c>
      <c r="P9" t="s">
        <v>69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15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 t="e">
        <f>ROW(#REF!)</f>
        <v>#REF!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103</v>
      </c>
      <c r="J10" t="s">
        <v>104</v>
      </c>
      <c r="K10" t="s">
        <v>105</v>
      </c>
      <c r="L10">
        <v>1348</v>
      </c>
      <c r="N10">
        <v>1009</v>
      </c>
      <c r="O10" t="s">
        <v>69</v>
      </c>
      <c r="P10" t="s">
        <v>69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15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 t="e">
        <f>ROW(#REF!)</f>
        <v>#REF!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89</v>
      </c>
      <c r="J11" t="s">
        <v>2</v>
      </c>
      <c r="K11" t="s">
        <v>90</v>
      </c>
      <c r="L11">
        <v>1191</v>
      </c>
      <c r="N11">
        <v>1013</v>
      </c>
      <c r="O11" t="s">
        <v>88</v>
      </c>
      <c r="P11" t="s">
        <v>88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16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 t="e">
        <f>ROW(#REF!)</f>
        <v>#REF!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91</v>
      </c>
      <c r="J12" t="s">
        <v>2</v>
      </c>
      <c r="K12" t="s">
        <v>92</v>
      </c>
      <c r="L12">
        <v>1191</v>
      </c>
      <c r="N12">
        <v>1013</v>
      </c>
      <c r="O12" t="s">
        <v>88</v>
      </c>
      <c r="P12" t="s">
        <v>88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16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 t="e">
        <f>ROW(#REF!)</f>
        <v>#REF!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93</v>
      </c>
      <c r="J13" t="s">
        <v>94</v>
      </c>
      <c r="K13" t="s">
        <v>95</v>
      </c>
      <c r="L13">
        <v>1368</v>
      </c>
      <c r="N13">
        <v>1011</v>
      </c>
      <c r="O13" t="s">
        <v>96</v>
      </c>
      <c r="P13" t="s">
        <v>96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16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 t="e">
        <f>ROW(#REF!)</f>
        <v>#REF!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97</v>
      </c>
      <c r="J14" t="s">
        <v>98</v>
      </c>
      <c r="K14" t="s">
        <v>99</v>
      </c>
      <c r="L14">
        <v>1368</v>
      </c>
      <c r="N14">
        <v>1011</v>
      </c>
      <c r="O14" t="s">
        <v>96</v>
      </c>
      <c r="P14" t="s">
        <v>96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16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 t="e">
        <f>ROW(#REF!)</f>
        <v>#REF!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100</v>
      </c>
      <c r="J15" t="s">
        <v>101</v>
      </c>
      <c r="K15" t="s">
        <v>102</v>
      </c>
      <c r="L15">
        <v>1348</v>
      </c>
      <c r="N15">
        <v>1009</v>
      </c>
      <c r="O15" t="s">
        <v>69</v>
      </c>
      <c r="P15" t="s">
        <v>69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15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 t="e">
        <f>ROW(#REF!)</f>
        <v>#REF!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103</v>
      </c>
      <c r="J16" t="s">
        <v>104</v>
      </c>
      <c r="K16" t="s">
        <v>105</v>
      </c>
      <c r="L16">
        <v>1348</v>
      </c>
      <c r="N16">
        <v>1009</v>
      </c>
      <c r="O16" t="s">
        <v>69</v>
      </c>
      <c r="P16" t="s">
        <v>69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15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 t="e">
        <f>ROW(#REF!)</f>
        <v>#REF!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86</v>
      </c>
      <c r="J17" t="s">
        <v>2</v>
      </c>
      <c r="K17" t="s">
        <v>87</v>
      </c>
      <c r="L17">
        <v>1191</v>
      </c>
      <c r="N17">
        <v>1013</v>
      </c>
      <c r="O17" t="s">
        <v>88</v>
      </c>
      <c r="P17" t="s">
        <v>88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2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 t="e">
        <f>ROW(#REF!)</f>
        <v>#REF!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86</v>
      </c>
      <c r="J18" t="s">
        <v>2</v>
      </c>
      <c r="K18" t="s">
        <v>87</v>
      </c>
      <c r="L18">
        <v>1191</v>
      </c>
      <c r="N18">
        <v>1013</v>
      </c>
      <c r="O18" t="s">
        <v>88</v>
      </c>
      <c r="P18" t="s">
        <v>88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2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 t="e">
        <f>ROW(#REF!)</f>
        <v>#REF!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86</v>
      </c>
      <c r="J19" t="s">
        <v>2</v>
      </c>
      <c r="K19" t="s">
        <v>87</v>
      </c>
      <c r="L19">
        <v>1191</v>
      </c>
      <c r="N19">
        <v>1013</v>
      </c>
      <c r="O19" t="s">
        <v>88</v>
      </c>
      <c r="P19" t="s">
        <v>88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14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 t="e">
        <f>ROW(#REF!)</f>
        <v>#REF!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86</v>
      </c>
      <c r="J20" t="s">
        <v>2</v>
      </c>
      <c r="K20" t="s">
        <v>87</v>
      </c>
      <c r="L20">
        <v>1191</v>
      </c>
      <c r="N20">
        <v>1013</v>
      </c>
      <c r="O20" t="s">
        <v>88</v>
      </c>
      <c r="P20" t="s">
        <v>88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14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 t="e">
        <f>ROW(#REF!)</f>
        <v>#REF!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89</v>
      </c>
      <c r="J21" t="s">
        <v>2</v>
      </c>
      <c r="K21" t="s">
        <v>90</v>
      </c>
      <c r="L21">
        <v>1191</v>
      </c>
      <c r="N21">
        <v>1013</v>
      </c>
      <c r="O21" t="s">
        <v>88</v>
      </c>
      <c r="P21" t="s">
        <v>88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16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 t="e">
        <f>ROW(#REF!)</f>
        <v>#REF!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91</v>
      </c>
      <c r="J22" t="s">
        <v>2</v>
      </c>
      <c r="K22" t="s">
        <v>92</v>
      </c>
      <c r="L22">
        <v>1191</v>
      </c>
      <c r="N22">
        <v>1013</v>
      </c>
      <c r="O22" t="s">
        <v>88</v>
      </c>
      <c r="P22" t="s">
        <v>88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16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 t="e">
        <f>ROW(#REF!)</f>
        <v>#REF!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93</v>
      </c>
      <c r="J23" t="s">
        <v>94</v>
      </c>
      <c r="K23" t="s">
        <v>95</v>
      </c>
      <c r="L23">
        <v>1368</v>
      </c>
      <c r="N23">
        <v>1011</v>
      </c>
      <c r="O23" t="s">
        <v>96</v>
      </c>
      <c r="P23" t="s">
        <v>96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16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 t="e">
        <f>ROW(#REF!)</f>
        <v>#REF!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97</v>
      </c>
      <c r="J24" t="s">
        <v>98</v>
      </c>
      <c r="K24" t="s">
        <v>99</v>
      </c>
      <c r="L24">
        <v>1368</v>
      </c>
      <c r="N24">
        <v>1011</v>
      </c>
      <c r="O24" t="s">
        <v>96</v>
      </c>
      <c r="P24" t="s">
        <v>96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16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 t="e">
        <f>ROW(#REF!)</f>
        <v>#REF!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100</v>
      </c>
      <c r="J25" t="s">
        <v>101</v>
      </c>
      <c r="K25" t="s">
        <v>102</v>
      </c>
      <c r="L25">
        <v>1348</v>
      </c>
      <c r="N25">
        <v>1009</v>
      </c>
      <c r="O25" t="s">
        <v>69</v>
      </c>
      <c r="P25" t="s">
        <v>69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15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 t="e">
        <f>ROW(#REF!)</f>
        <v>#REF!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103</v>
      </c>
      <c r="J26" t="s">
        <v>104</v>
      </c>
      <c r="K26" t="s">
        <v>105</v>
      </c>
      <c r="L26">
        <v>1348</v>
      </c>
      <c r="N26">
        <v>1009</v>
      </c>
      <c r="O26" t="s">
        <v>69</v>
      </c>
      <c r="P26" t="s">
        <v>69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15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 t="e">
        <f>ROW(#REF!)</f>
        <v>#REF!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89</v>
      </c>
      <c r="J27" t="s">
        <v>2</v>
      </c>
      <c r="K27" t="s">
        <v>90</v>
      </c>
      <c r="L27">
        <v>1191</v>
      </c>
      <c r="N27">
        <v>1013</v>
      </c>
      <c r="O27" t="s">
        <v>88</v>
      </c>
      <c r="P27" t="s">
        <v>88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16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 t="e">
        <f>ROW(#REF!)</f>
        <v>#REF!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91</v>
      </c>
      <c r="J28" t="s">
        <v>2</v>
      </c>
      <c r="K28" t="s">
        <v>92</v>
      </c>
      <c r="L28">
        <v>1191</v>
      </c>
      <c r="N28">
        <v>1013</v>
      </c>
      <c r="O28" t="s">
        <v>88</v>
      </c>
      <c r="P28" t="s">
        <v>88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16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 t="e">
        <f>ROW(#REF!)</f>
        <v>#REF!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93</v>
      </c>
      <c r="J29" t="s">
        <v>94</v>
      </c>
      <c r="K29" t="s">
        <v>95</v>
      </c>
      <c r="L29">
        <v>1368</v>
      </c>
      <c r="N29">
        <v>1011</v>
      </c>
      <c r="O29" t="s">
        <v>96</v>
      </c>
      <c r="P29" t="s">
        <v>96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16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 t="e">
        <f>ROW(#REF!)</f>
        <v>#REF!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97</v>
      </c>
      <c r="J30" t="s">
        <v>98</v>
      </c>
      <c r="K30" t="s">
        <v>99</v>
      </c>
      <c r="L30">
        <v>1368</v>
      </c>
      <c r="N30">
        <v>1011</v>
      </c>
      <c r="O30" t="s">
        <v>96</v>
      </c>
      <c r="P30" t="s">
        <v>96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16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 t="e">
        <f>ROW(#REF!)</f>
        <v>#REF!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100</v>
      </c>
      <c r="J31" t="s">
        <v>101</v>
      </c>
      <c r="K31" t="s">
        <v>102</v>
      </c>
      <c r="L31">
        <v>1348</v>
      </c>
      <c r="N31">
        <v>1009</v>
      </c>
      <c r="O31" t="s">
        <v>69</v>
      </c>
      <c r="P31" t="s">
        <v>69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15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 t="e">
        <f>ROW(#REF!)</f>
        <v>#REF!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103</v>
      </c>
      <c r="J32" t="s">
        <v>104</v>
      </c>
      <c r="K32" t="s">
        <v>105</v>
      </c>
      <c r="L32">
        <v>1348</v>
      </c>
      <c r="N32">
        <v>1009</v>
      </c>
      <c r="O32" t="s">
        <v>69</v>
      </c>
      <c r="P32" t="s">
        <v>69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15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 t="e">
        <f>ROW(#REF!)</f>
        <v>#REF!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106</v>
      </c>
      <c r="J33" t="s">
        <v>2</v>
      </c>
      <c r="K33" t="s">
        <v>107</v>
      </c>
      <c r="L33">
        <v>1191</v>
      </c>
      <c r="N33">
        <v>1013</v>
      </c>
      <c r="O33" t="s">
        <v>88</v>
      </c>
      <c r="P33" t="s">
        <v>88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2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 t="e">
        <f>ROW(#REF!)</f>
        <v>#REF!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108</v>
      </c>
      <c r="J34" t="s">
        <v>109</v>
      </c>
      <c r="K34" t="s">
        <v>110</v>
      </c>
      <c r="L34">
        <v>1355</v>
      </c>
      <c r="N34">
        <v>1010</v>
      </c>
      <c r="O34" t="s">
        <v>111</v>
      </c>
      <c r="P34" t="s">
        <v>111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2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 t="e">
        <f>ROW(#REF!)</f>
        <v>#REF!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106</v>
      </c>
      <c r="J35" t="s">
        <v>2</v>
      </c>
      <c r="K35" t="s">
        <v>107</v>
      </c>
      <c r="L35">
        <v>1191</v>
      </c>
      <c r="N35">
        <v>1013</v>
      </c>
      <c r="O35" t="s">
        <v>88</v>
      </c>
      <c r="P35" t="s">
        <v>88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2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 t="e">
        <f>ROW(#REF!)</f>
        <v>#REF!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108</v>
      </c>
      <c r="J36" t="s">
        <v>109</v>
      </c>
      <c r="K36" t="s">
        <v>110</v>
      </c>
      <c r="L36">
        <v>1355</v>
      </c>
      <c r="N36">
        <v>1010</v>
      </c>
      <c r="O36" t="s">
        <v>111</v>
      </c>
      <c r="P36" t="s">
        <v>111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2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Описание</vt:lpstr>
      <vt:lpstr>Список бюджетов</vt:lpstr>
      <vt:lpstr>КП-5</vt:lpstr>
      <vt:lpstr>ДМЦ</vt:lpstr>
      <vt:lpstr>default</vt:lpstr>
      <vt:lpstr>RV_DATA</vt:lpstr>
      <vt:lpstr>SourceObSm</vt:lpstr>
      <vt:lpstr>SmtRes</vt:lpstr>
      <vt:lpstr>EtalonRes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2021-03-13T22:19:02Z</dcterms:modified>
</cp:coreProperties>
</file>