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/>
  </bookViews>
  <sheets>
    <sheet name="Описание" sheetId="22" r:id="rId1"/>
    <sheet name="Список бюджетов" sheetId="9" r:id="rId2"/>
    <sheet name="КП-5" sheetId="23" r:id="rId3"/>
    <sheet name="ДМЦ" sheetId="11" r:id="rId4"/>
    <sheet name="default" sheetId="13" r:id="rId5"/>
    <sheet name="RV_DATA" sheetId="8" state="hidden" r:id="rId6"/>
    <sheet name="SourceObSm" sheetId="2" state="hidden" r:id="rId7"/>
    <sheet name="SmtRes" sheetId="3" state="hidden" r:id="rId8"/>
    <sheet name="EtalonRes" sheetId="4" state="hidden" r:id="rId9"/>
  </sheets>
  <functionGroups builtInGroupCount="18"/>
  <externalReferences>
    <externalReference r:id="rId10"/>
    <externalReference r:id="rId11"/>
  </externalReferences>
  <definedNames>
    <definedName name="GrandTotal">[1]КомСм!$G$571</definedName>
  </definedNames>
  <calcPr calcId="162913"/>
</workbook>
</file>

<file path=xl/calcChain.xml><?xml version="1.0" encoding="utf-8"?>
<calcChain xmlns="http://schemas.openxmlformats.org/spreadsheetml/2006/main">
  <c r="B6" i="11" l="1"/>
  <c r="B5" i="11"/>
  <c r="B4" i="11"/>
  <c r="B3" i="11"/>
  <c r="B1" i="11"/>
  <c r="B6" i="23"/>
  <c r="B5" i="23"/>
  <c r="B4" i="23"/>
  <c r="B3" i="23"/>
  <c r="B1" i="23"/>
  <c r="F2" i="23" l="1"/>
  <c r="G2" i="23" s="1"/>
  <c r="H13" i="23"/>
  <c r="H14" i="23"/>
  <c r="H15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30" i="23"/>
  <c r="H131" i="23"/>
  <c r="H132" i="23"/>
  <c r="H133" i="23"/>
  <c r="H134" i="23"/>
  <c r="H135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43" i="23"/>
  <c r="H245" i="23"/>
  <c r="F2" i="11" l="1"/>
  <c r="G2" i="11" s="1"/>
  <c r="E2" i="11"/>
  <c r="D2" i="11"/>
  <c r="U20" i="8" l="1"/>
  <c r="I20" i="8"/>
  <c r="H20" i="8"/>
  <c r="G20" i="8"/>
  <c r="F20" i="8"/>
  <c r="E20" i="8"/>
  <c r="D20" i="8"/>
  <c r="A20" i="8"/>
  <c r="U19" i="8"/>
  <c r="S19" i="8"/>
  <c r="P19" i="8"/>
  <c r="N19" i="8"/>
  <c r="K19" i="8"/>
  <c r="J19" i="8"/>
  <c r="I19" i="8"/>
  <c r="H19" i="8"/>
  <c r="G19" i="8"/>
  <c r="F19" i="8"/>
  <c r="E19" i="8"/>
  <c r="A19" i="8"/>
  <c r="U18" i="8"/>
  <c r="S18" i="8"/>
  <c r="P18" i="8"/>
  <c r="N18" i="8"/>
  <c r="K18" i="8"/>
  <c r="J18" i="8"/>
  <c r="I18" i="8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N15" i="8"/>
  <c r="K15" i="8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J11" i="8"/>
  <c r="H11" i="8"/>
  <c r="G11" i="8"/>
  <c r="F11" i="8"/>
  <c r="E11" i="8"/>
  <c r="A11" i="8"/>
  <c r="U10" i="8"/>
  <c r="S10" i="8"/>
  <c r="P10" i="8"/>
  <c r="N10" i="8"/>
  <c r="K10" i="8"/>
  <c r="J10" i="8"/>
  <c r="H10" i="8"/>
  <c r="G10" i="8"/>
  <c r="F10" i="8"/>
  <c r="E10" i="8"/>
  <c r="A10" i="8"/>
  <c r="U9" i="8"/>
  <c r="S9" i="8"/>
  <c r="P9" i="8"/>
  <c r="N9" i="8"/>
  <c r="K9" i="8"/>
  <c r="J9" i="8"/>
  <c r="H9" i="8"/>
  <c r="G9" i="8"/>
  <c r="F9" i="8"/>
  <c r="E9" i="8"/>
  <c r="A9" i="8"/>
  <c r="U8" i="8"/>
  <c r="S8" i="8"/>
  <c r="P8" i="8"/>
  <c r="N8" i="8"/>
  <c r="K8" i="8"/>
  <c r="J8" i="8"/>
  <c r="H8" i="8"/>
  <c r="G8" i="8"/>
  <c r="F8" i="8"/>
  <c r="E8" i="8"/>
  <c r="A8" i="8"/>
  <c r="G7" i="8"/>
  <c r="A7" i="8"/>
  <c r="G6" i="8"/>
  <c r="A6" i="8"/>
  <c r="A1" i="4" l="1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CX1" i="3"/>
  <c r="CX2" i="3"/>
  <c r="CX17" i="3"/>
  <c r="CX18" i="3"/>
  <c r="B47" i="2"/>
  <c r="B48" i="2"/>
  <c r="T19" i="8" l="1"/>
  <c r="R19" i="8"/>
  <c r="O14" i="8"/>
  <c r="M14" i="8"/>
  <c r="T11" i="8"/>
  <c r="R11" i="8"/>
  <c r="M19" i="8"/>
  <c r="O19" i="8"/>
  <c r="T15" i="8"/>
  <c r="R15" i="8"/>
  <c r="M11" i="8"/>
  <c r="O11" i="8"/>
  <c r="O8" i="8"/>
  <c r="M8" i="8"/>
  <c r="M13" i="8"/>
  <c r="O13" i="8"/>
  <c r="O10" i="8"/>
  <c r="M10" i="8"/>
  <c r="P20" i="8"/>
  <c r="R20" i="8" s="1"/>
  <c r="S20" i="8"/>
  <c r="T20" i="8" s="1"/>
  <c r="I15" i="8"/>
  <c r="I16" i="8"/>
  <c r="I14" i="8"/>
  <c r="CX20" i="3"/>
  <c r="I13" i="8"/>
  <c r="T18" i="8"/>
  <c r="R18" i="8"/>
  <c r="T13" i="8"/>
  <c r="R13" i="8"/>
  <c r="T10" i="8"/>
  <c r="R10" i="8"/>
  <c r="I11" i="8"/>
  <c r="I9" i="8"/>
  <c r="I10" i="8"/>
  <c r="O18" i="8"/>
  <c r="M18" i="8"/>
  <c r="O16" i="8"/>
  <c r="M16" i="8"/>
  <c r="M9" i="8"/>
  <c r="O9" i="8"/>
  <c r="CX14" i="3"/>
  <c r="K20" i="8"/>
  <c r="N20" i="8"/>
  <c r="CX4" i="3"/>
  <c r="I8" i="8"/>
  <c r="T14" i="8"/>
  <c r="R14" i="8"/>
  <c r="M15" i="8"/>
  <c r="O15" i="8"/>
  <c r="T16" i="8"/>
  <c r="R16" i="8"/>
  <c r="T9" i="8"/>
  <c r="R9" i="8"/>
  <c r="T8" i="8"/>
  <c r="R8" i="8"/>
  <c r="CX19" i="3"/>
  <c r="CX29" i="3"/>
  <c r="CX28" i="3"/>
  <c r="CX32" i="3"/>
  <c r="CX27" i="3"/>
  <c r="CX31" i="3"/>
  <c r="CX30" i="3"/>
  <c r="CX3" i="3"/>
  <c r="CX13" i="3"/>
  <c r="CX12" i="3"/>
  <c r="CX16" i="3"/>
  <c r="CX11" i="3"/>
  <c r="CX15" i="3"/>
  <c r="O20" i="8" l="1"/>
  <c r="M20" i="8"/>
  <c r="CX5" i="3"/>
  <c r="CX9" i="3"/>
  <c r="CX8" i="3"/>
  <c r="CX7" i="3"/>
  <c r="CX10" i="3"/>
  <c r="CX6" i="3"/>
  <c r="CX21" i="3"/>
  <c r="CX25" i="3"/>
  <c r="CX24" i="3"/>
  <c r="CX23" i="3"/>
  <c r="CX26" i="3"/>
  <c r="CX22" i="3"/>
  <c r="U16" i="2" l="1"/>
  <c r="U18" i="2" s="1"/>
  <c r="F16" i="2" l="1"/>
  <c r="F18" i="2" s="1"/>
  <c r="J16" i="2"/>
  <c r="J18" i="2" s="1"/>
  <c r="V16" i="2"/>
  <c r="V18" i="2" s="1"/>
  <c r="G16" i="2"/>
  <c r="G18" i="2" s="1"/>
  <c r="H16" i="2" l="1"/>
  <c r="H18" i="2" s="1"/>
  <c r="Y16" i="2"/>
  <c r="Y18" i="2" s="1"/>
  <c r="E16" i="2" l="1"/>
  <c r="I16" i="2" s="1"/>
  <c r="I18" i="2" s="1"/>
  <c r="T16" i="2"/>
  <c r="W16" i="2"/>
  <c r="W18" i="2" s="1"/>
  <c r="E18" i="2" l="1"/>
  <c r="X16" i="2"/>
  <c r="X18" i="2" s="1"/>
  <c r="T18" i="2"/>
</calcChain>
</file>

<file path=xl/sharedStrings.xml><?xml version="1.0" encoding="utf-8"?>
<sst xmlns="http://schemas.openxmlformats.org/spreadsheetml/2006/main" count="1611" uniqueCount="970">
  <si>
    <t>Smeta.RU Flash  (495) 974-1589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</si>
  <si>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</si>
  <si>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</si>
  <si>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</si>
  <si>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</si>
  <si>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</si>
  <si>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</si>
  <si>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</si>
  <si>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</si>
  <si>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</si>
  <si>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</si>
  <si>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</si>
  <si>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</si>
  <si>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Общестроительные работы</t>
  </si>
  <si>
    <t>)*2,27</t>
  </si>
  <si>
    <t>)*0</t>
  </si>
  <si>
    <t>)*0,7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</si>
  <si>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</si>
  <si>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</si>
  <si>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</si>
  <si>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</si>
  <si>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</si>
  <si>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</si>
  <si>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</si>
  <si>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</si>
  <si>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</si>
  <si>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</si>
  <si>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</si>
  <si>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</si>
  <si>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</si>
  <si>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</si>
  <si>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</si>
  <si>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</si>
  <si>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</si>
  <si>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</si>
  <si>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</si>
  <si>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</si>
  <si>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</si>
  <si>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</si>
  <si>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</si>
  <si>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</si>
  <si>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</si>
  <si>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</si>
  <si>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</si>
  <si>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</si>
  <si>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</si>
  <si>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</si>
  <si>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</si>
  <si>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</si>
  <si>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</si>
  <si>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</si>
  <si>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</si>
  <si>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</si>
  <si>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</si>
  <si>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</si>
  <si>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</si>
  <si>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</si>
  <si>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</si>
  <si>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</si>
  <si>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</si>
  <si>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</si>
  <si>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</si>
  <si>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</si>
  <si>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</si>
  <si>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</si>
  <si>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</si>
  <si>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</si>
  <si>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</si>
  <si>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</si>
  <si>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т</t>
  </si>
  <si>
    <t>Итого</t>
  </si>
  <si>
    <t>И1</t>
  </si>
  <si>
    <t>В т.ч. оборудование</t>
  </si>
  <si>
    <t>И2</t>
  </si>
  <si>
    <t>В т.ч. прочие</t>
  </si>
  <si>
    <t>Зимнее удорожание 1,41%</t>
  </si>
  <si>
    <t>И4</t>
  </si>
  <si>
    <t>И7</t>
  </si>
  <si>
    <t>НДС 20%</t>
  </si>
  <si>
    <t>И8</t>
  </si>
  <si>
    <t>ВСЕГО С НДС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</si>
  <si>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</si>
  <si>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</si>
  <si>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</si>
  <si>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</si>
  <si>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</si>
  <si>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</si>
  <si>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</si>
  <si>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</si>
  <si>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</si>
  <si>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</si>
  <si>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</si>
  <si>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</si>
  <si>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</si>
  <si>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</si>
  <si>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</si>
  <si>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</si>
  <si>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</si>
  <si>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</si>
  <si>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</si>
  <si>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</si>
  <si>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</si>
  <si>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</si>
  <si>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</si>
  <si>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</si>
  <si>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</si>
  <si>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</si>
  <si>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</si>
  <si>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</si>
  <si>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</si>
  <si>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</si>
  <si>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</si>
  <si>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</si>
  <si>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</si>
  <si>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</si>
  <si>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</si>
  <si>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</si>
  <si>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</si>
  <si>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</si>
  <si>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</si>
  <si>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</si>
  <si>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</si>
  <si>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</si>
  <si>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</si>
  <si>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</si>
  <si>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</si>
  <si>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</si>
  <si>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</si>
  <si>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</si>
  <si>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</si>
  <si>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</si>
  <si>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</si>
  <si>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</si>
  <si>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</si>
  <si>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</si>
  <si>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</si>
  <si>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</si>
  <si>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</si>
  <si>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</si>
  <si>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</si>
  <si>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</si>
  <si>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</si>
  <si>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</si>
  <si>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</si>
  <si>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</si>
  <si>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КП-5</t>
  </si>
  <si>
    <t>ДМЦ</t>
  </si>
  <si>
    <t>Комплекс зданий по адресу: г. Москва, Красная площадь, д.5" для размещения Музейно-выставочного комплекса Музеев Московского Кремля</t>
  </si>
  <si>
    <t>Лист</t>
  </si>
  <si>
    <t>Наименование объекта</t>
  </si>
  <si>
    <t>АУП</t>
  </si>
  <si>
    <t>Генподряд</t>
  </si>
  <si>
    <t>РСУ</t>
  </si>
  <si>
    <t>Фонд</t>
  </si>
  <si>
    <t>Финансовый результат</t>
  </si>
  <si>
    <t>НДС к уплате в бюджет</t>
  </si>
  <si>
    <t>Валовая прибыль</t>
  </si>
  <si>
    <t>Налог на прибыль</t>
  </si>
  <si>
    <t>02-01-01</t>
  </si>
  <si>
    <t>1.1.1.1.</t>
  </si>
  <si>
    <t>Реставрация главного фасада</t>
  </si>
  <si>
    <t>1.1.2.1.</t>
  </si>
  <si>
    <t>Сопутствующие работы</t>
  </si>
  <si>
    <t>02-01-02</t>
  </si>
  <si>
    <t>1.1.3.1.</t>
  </si>
  <si>
    <t>Работы по реставрации главного фасада (доп работы)</t>
  </si>
  <si>
    <t>02-01-03</t>
  </si>
  <si>
    <t>1.1.4.1.</t>
  </si>
  <si>
    <t>Вычинка К/К блок А</t>
  </si>
  <si>
    <t>1.1.5.1.</t>
  </si>
  <si>
    <t>02-01-04</t>
  </si>
  <si>
    <t>1.1.6.1.</t>
  </si>
  <si>
    <t>Вычинка К/К блок Б</t>
  </si>
  <si>
    <t>1.1.7.1.</t>
  </si>
  <si>
    <t>02-01-05</t>
  </si>
  <si>
    <t>1.1.8.1</t>
  </si>
  <si>
    <t>Работы по реставрации внутренних чугунных лестниц. Блоки А и Б</t>
  </si>
  <si>
    <t>02-01-06</t>
  </si>
  <si>
    <t>1.1.9.1.</t>
  </si>
  <si>
    <t>1.1.10.1.</t>
  </si>
  <si>
    <t>02-01-07</t>
  </si>
  <si>
    <t>1.1.11.1.</t>
  </si>
  <si>
    <t>Работы по реставрации дворового фасада , блок А</t>
  </si>
  <si>
    <t>1.1.12.1.</t>
  </si>
  <si>
    <t>02-01-08</t>
  </si>
  <si>
    <t>1.1.13.1.</t>
  </si>
  <si>
    <t>Работы по реставрации дворового фасада , блок Б</t>
  </si>
  <si>
    <t>1.1.14.1.</t>
  </si>
  <si>
    <t>02-01-09</t>
  </si>
  <si>
    <t>1.1.15.1.</t>
  </si>
  <si>
    <t>Работы по реставрации дворового фасада , блок А и Б, доп работы</t>
  </si>
  <si>
    <t>1.1.16.1.</t>
  </si>
  <si>
    <t>02-01-10</t>
  </si>
  <si>
    <t>1.1.17.1.</t>
  </si>
  <si>
    <t>Зондажи фасадов</t>
  </si>
  <si>
    <t>1.1.18.1.</t>
  </si>
  <si>
    <t>02-02-01.0</t>
  </si>
  <si>
    <t>1.2.1.1.</t>
  </si>
  <si>
    <t>02-02-02.0</t>
  </si>
  <si>
    <t>1.2.2.1.</t>
  </si>
  <si>
    <t>Гидроизоляция</t>
  </si>
  <si>
    <t>02-01-04.1</t>
  </si>
  <si>
    <t>1.2.3.1.</t>
  </si>
  <si>
    <t>Силовое электрооборудование. Планы сетей.</t>
  </si>
  <si>
    <t>02-01-05.1</t>
  </si>
  <si>
    <t>1.2.4.1.</t>
  </si>
  <si>
    <t>Электроосвещение внутреннее. Доп. работы.</t>
  </si>
  <si>
    <t>02-01-06.1</t>
  </si>
  <si>
    <t>1.2.5.1.</t>
  </si>
  <si>
    <t>Молниезащита и заземление</t>
  </si>
  <si>
    <t>02-01-07.0</t>
  </si>
  <si>
    <t>1.2.6.1.</t>
  </si>
  <si>
    <t>Демонтаж технологического оборудования</t>
  </si>
  <si>
    <t>02-01-08.0</t>
  </si>
  <si>
    <t>1.2.7.1.</t>
  </si>
  <si>
    <t>Монтаж лифтов. Доп. работы.</t>
  </si>
  <si>
    <t>02-01-09.1</t>
  </si>
  <si>
    <t>1.2.8.1.</t>
  </si>
  <si>
    <t>Монтаж систем внутреннего водоснабжения и водоотведения.
Дополнительные  работы по проекту 2016г.</t>
  </si>
  <si>
    <t>02-01-10.1</t>
  </si>
  <si>
    <t>1.2.9.1.</t>
  </si>
  <si>
    <t>Монтаж системы отопления. Доп. работы.</t>
  </si>
  <si>
    <t>02-01-11.1</t>
  </si>
  <si>
    <t>1.2.10.1.</t>
  </si>
  <si>
    <t>Монтаж системы вентиляции.</t>
  </si>
  <si>
    <t>02-01-12.1</t>
  </si>
  <si>
    <t>1.2.11.1.</t>
  </si>
  <si>
    <t>Система кондиционирования воздуха. Дополнительные  работы по проекту 2016г.</t>
  </si>
  <si>
    <t>02-01-13.1</t>
  </si>
  <si>
    <t>1.2.12.1.</t>
  </si>
  <si>
    <t>Система автоматического водяного пожаротушения. Доп.работы по проекту 2016г</t>
  </si>
  <si>
    <t>02-01-14.1</t>
  </si>
  <si>
    <t>1.2.13.1.</t>
  </si>
  <si>
    <t>ОЗДС. Дополнительные работы по проекту 2016г.</t>
  </si>
  <si>
    <t>02-01-15.0</t>
  </si>
  <si>
    <t>1.2.14.1.</t>
  </si>
  <si>
    <t>Система часофикации. Дополнительные работы по проекту 2016г.</t>
  </si>
  <si>
    <t>02-01-16.0</t>
  </si>
  <si>
    <t>1.2.15.1.</t>
  </si>
  <si>
    <t>Система радиотрансляции. Дополнительные  работы по проекту 2016г.</t>
  </si>
  <si>
    <t>02-01-17.1</t>
  </si>
  <si>
    <t>1.2.16.1.</t>
  </si>
  <si>
    <t>Система коллективного приема вещительного телевидения.
Дополнительные работы по проекту 2016г.</t>
  </si>
  <si>
    <t>02-01-18.0</t>
  </si>
  <si>
    <t>1.2.17.1.</t>
  </si>
  <si>
    <t>Система охранного телевидения</t>
  </si>
  <si>
    <t>02-01-19.0</t>
  </si>
  <si>
    <t>1.2.18.1.</t>
  </si>
  <si>
    <t>Центральный тепловой пункт. Доп. работы по проекту 2016г.</t>
  </si>
  <si>
    <t>02-01-20.0</t>
  </si>
  <si>
    <t>1.2.19.1.</t>
  </si>
  <si>
    <t>Кабельные конструкции слаботочных систем</t>
  </si>
  <si>
    <t>02-01-21.1</t>
  </si>
  <si>
    <t>1.2.20.1.</t>
  </si>
  <si>
    <t>Система контроля и управления доступом.</t>
  </si>
  <si>
    <t>02-01-22.0</t>
  </si>
  <si>
    <t>1.2.21.1.</t>
  </si>
  <si>
    <t>Структурированная кабельная сеть (Корпус А)</t>
  </si>
  <si>
    <t>02-01-23.0</t>
  </si>
  <si>
    <t>1.2.22.1.</t>
  </si>
  <si>
    <t>Структурированная кабельная сеть корпуса Б.  Дополнительные работы по проекту 2016г.</t>
  </si>
  <si>
    <t>02-01-24.1</t>
  </si>
  <si>
    <t>1.2.23.1.</t>
  </si>
  <si>
    <t>Автоматизация внутренних инженерных систем. Доп. работы по проекту 2016г</t>
  </si>
  <si>
    <t>02-01-25.0</t>
  </si>
  <si>
    <t>1.2.24.1.</t>
  </si>
  <si>
    <t>Диспетчеризация электроснабжения. Дополнительные работы по проекту 2016г.</t>
  </si>
  <si>
    <t>02-01-26</t>
  </si>
  <si>
    <t>1.2.25.1.</t>
  </si>
  <si>
    <t>Автоматизация противодымной защиты. Дополнительные работы по проекту 2016г._</t>
  </si>
  <si>
    <t>02-01-27</t>
  </si>
  <si>
    <t>1.2.26.1.</t>
  </si>
  <si>
    <t>Медицинские газы. Дополнительные работы по проекту 2016г.</t>
  </si>
  <si>
    <t>02-01-28.1</t>
  </si>
  <si>
    <t>1.2.27.1.</t>
  </si>
  <si>
    <t>Пожарная сигнализация</t>
  </si>
  <si>
    <t>02-01-28.2</t>
  </si>
  <si>
    <t>1.2.28.1.</t>
  </si>
  <si>
    <t>Система оповещения и управления эвакуацией при пожаре. Доп. работы по проекту 2016г.</t>
  </si>
  <si>
    <t>02-01-28.3</t>
  </si>
  <si>
    <t>1.2.29.1.</t>
  </si>
  <si>
    <t>Система охранной сигнализации</t>
  </si>
  <si>
    <t>02-01-29</t>
  </si>
  <si>
    <t>1.2.30.1.</t>
  </si>
  <si>
    <t>Телефонная связь</t>
  </si>
  <si>
    <t>02-01-30</t>
  </si>
  <si>
    <t>1.2.31.1.</t>
  </si>
  <si>
    <t>Вызывная сигнализация</t>
  </si>
  <si>
    <t>02-01-31</t>
  </si>
  <si>
    <t>1.2.32.1.</t>
  </si>
  <si>
    <t>Автоматическая установка пожаротушения помещений. Г азовое пожаротушение. Доп. работы.</t>
  </si>
  <si>
    <t>02-01-32</t>
  </si>
  <si>
    <t>1.2.33.1.</t>
  </si>
  <si>
    <t>Перенос серверной на время реконструкции</t>
  </si>
  <si>
    <t>02-01-37.1</t>
  </si>
  <si>
    <t>1.2.40.1.</t>
  </si>
  <si>
    <t>Ванна для гидромассажных процедур (Бассейн). Дополнительные работы по проекту 2016г.</t>
  </si>
  <si>
    <t>2.1.1.1.</t>
  </si>
  <si>
    <t>ДЕМОНТАЖ В КОРПУСЕ Б</t>
  </si>
  <si>
    <t>3.1.1.1.</t>
  </si>
  <si>
    <t>Приведение объекта к проектным решениям стадии «Проектная документация» 2016г</t>
  </si>
  <si>
    <t>04-01-01.1</t>
  </si>
  <si>
    <t>4.1.1.1.</t>
  </si>
  <si>
    <t>Внутриплощадочные кабельные сети 0.4кВ. Дополнительные работы по проекту 2016г.</t>
  </si>
  <si>
    <t>05-01-01</t>
  </si>
  <si>
    <t>5.1.1.1.</t>
  </si>
  <si>
    <t>Наружные сети. Переподключение внешних линий связи. Дополнительные работы по проекту 2016г.</t>
  </si>
  <si>
    <t>06-01-01.1</t>
  </si>
  <si>
    <t>6.1.1.1.</t>
  </si>
  <si>
    <t>Наружные сети водоснабжения и водоотведения .Доп. работы по проекту 2016г.</t>
  </si>
  <si>
    <t>06-01-02.1</t>
  </si>
  <si>
    <t>6.2.1.1.</t>
  </si>
  <si>
    <t>Теплловые сети. Дополнительные работы по проекту 2016г.</t>
  </si>
  <si>
    <t>07-01-01.1</t>
  </si>
  <si>
    <t>7.1.1.1.</t>
  </si>
  <si>
    <t>Восстановление благоустройства. Дополнительные работы по проекту 2016г.</t>
  </si>
  <si>
    <t>07-01-02.1</t>
  </si>
  <si>
    <t>7.2.1.1.</t>
  </si>
  <si>
    <t>Наружное электроосвещение. Доп. работы.</t>
  </si>
  <si>
    <t>ГСН 81-05-01.2001 прил. п. 4.2</t>
  </si>
  <si>
    <t>8.1.1.1.</t>
  </si>
  <si>
    <t>Средства на возведение и разборку временных зданий и сооружений (реставрация и реконструкция) 1,8*0,8%=0,96%</t>
  </si>
  <si>
    <t>ГСНр-81-05-02.2001 таб. 2 п. 1.4</t>
  </si>
  <si>
    <t>9.1.1.1.</t>
  </si>
  <si>
    <t>09-01-01</t>
  </si>
  <si>
    <t>9.2.1.1.</t>
  </si>
  <si>
    <t>ПНР. Силовое электрооборудование.</t>
  </si>
  <si>
    <t>09-01-02</t>
  </si>
  <si>
    <t>9.3.1.1.</t>
  </si>
  <si>
    <t>ПНР. Система вентиляции и кондиционирования.</t>
  </si>
  <si>
    <t>09-01-04</t>
  </si>
  <si>
    <t>9.5.1.1.</t>
  </si>
  <si>
    <t>ПНР лифтов.</t>
  </si>
  <si>
    <t>09-01-05</t>
  </si>
  <si>
    <t>9.6.1.1.</t>
  </si>
  <si>
    <t>ПНР. Часофикация.</t>
  </si>
  <si>
    <t>09-01-06</t>
  </si>
  <si>
    <t>9.7.1.1.</t>
  </si>
  <si>
    <t>ПНР. Система радиофикации.</t>
  </si>
  <si>
    <t>09-01-07</t>
  </si>
  <si>
    <t>9.8.1.1.</t>
  </si>
  <si>
    <t>ПНР. Система охранной сигнализации</t>
  </si>
  <si>
    <t>09-01-08</t>
  </si>
  <si>
    <t>9.9.1.1.</t>
  </si>
  <si>
    <t>ПНР. Система охранного телевидения.</t>
  </si>
  <si>
    <t>09-01-09</t>
  </si>
  <si>
    <t>9.10.1.1.</t>
  </si>
  <si>
    <t>ПНР система оповещения и управления эвакуацией</t>
  </si>
  <si>
    <t>09-01-10</t>
  </si>
  <si>
    <t>9.11.1.1.</t>
  </si>
  <si>
    <t>ПНР Телефонная связь.</t>
  </si>
  <si>
    <t>09-01-12</t>
  </si>
  <si>
    <t>9.12.1.1.</t>
  </si>
  <si>
    <t>ПНР. Автоматизация противодымной защиты.</t>
  </si>
  <si>
    <t>09-01-13</t>
  </si>
  <si>
    <t>9.13.1.1.</t>
  </si>
  <si>
    <t>ПНР Автоматизация внутренних инженерных систем.</t>
  </si>
  <si>
    <t>09-01-14</t>
  </si>
  <si>
    <t>9.14.1.1.</t>
  </si>
  <si>
    <t>ПНР Система автоматического водяного пожаротушения.</t>
  </si>
  <si>
    <t>09-01-15</t>
  </si>
  <si>
    <t>9.15.1.1.</t>
  </si>
  <si>
    <t>ПНР Бассейна.</t>
  </si>
  <si>
    <t>10.1.1.1.</t>
  </si>
  <si>
    <t xml:space="preserve">Непредвиденные расходы ( 2% от итога глав 1-12) </t>
  </si>
  <si>
    <t>ЧИСТАЯ ПРИБЫЛЬ</t>
  </si>
  <si>
    <t>SmetaTransform</t>
  </si>
  <si>
    <t>Для преобразования сметы, откройте исходный файл и запустите макрос "transformSmeta"</t>
  </si>
  <si>
    <t>Работа с листом бюджет</t>
  </si>
  <si>
    <t xml:space="preserve">На листе "Список бюджетов" содержится список листов с бюджетами для разных объектов. </t>
  </si>
  <si>
    <t>При необходимости, можно добавить новый лист с бюджетом нового объекта</t>
  </si>
  <si>
    <t xml:space="preserve">И добавить название этого листа в таблицу "список бюджетов": в первой колонке название </t>
  </si>
  <si>
    <t>листа с бюджетом, во второй - название объекта к которому он относится</t>
  </si>
  <si>
    <t>Реконструкция (в режиме реставрации с приспособлением к современному использованию) объекта капитального строительства "Комплекс зданий по адресу: г. Москва, Красная площадь, д.5" для размещения Музейно-выставочного комплекса Музеев Московского Кремля</t>
  </si>
  <si>
    <t>Чистая прибыль</t>
  </si>
  <si>
    <t>Offset</t>
  </si>
  <si>
    <t>Договор</t>
  </si>
  <si>
    <t>№ Статьи</t>
  </si>
  <si>
    <t>Наименование</t>
  </si>
  <si>
    <t>№ сметы</t>
  </si>
  <si>
    <t>статья бюджета</t>
  </si>
  <si>
    <t>10.1.1.</t>
  </si>
  <si>
    <t>10.1.</t>
  </si>
  <si>
    <t>10.</t>
  </si>
  <si>
    <t xml:space="preserve">9.1.1.1. </t>
  </si>
  <si>
    <t>9.1.1.</t>
  </si>
  <si>
    <t>9.1.</t>
  </si>
  <si>
    <t>9.</t>
  </si>
  <si>
    <t>Банковская гарантия</t>
  </si>
  <si>
    <t>8.1.1.3.</t>
  </si>
  <si>
    <t>Накладные расходы строительной площадки</t>
  </si>
  <si>
    <t>8.1.1.2.</t>
  </si>
  <si>
    <t>Накладные расходы АУП</t>
  </si>
  <si>
    <t>8.1.1.</t>
  </si>
  <si>
    <t>8.1.</t>
  </si>
  <si>
    <t>8.</t>
  </si>
  <si>
    <t>Непредвиденные расходы</t>
  </si>
  <si>
    <t>7.1.1.</t>
  </si>
  <si>
    <t>7.1.</t>
  </si>
  <si>
    <t>7.</t>
  </si>
  <si>
    <t>Прочие затраты</t>
  </si>
  <si>
    <t>6.1.1.4.</t>
  </si>
  <si>
    <t>Геотехничсекий мониторинг</t>
  </si>
  <si>
    <t>6.1.1.3.</t>
  </si>
  <si>
    <t>ПНР инженерных систем</t>
  </si>
  <si>
    <t>6.1.1.2.</t>
  </si>
  <si>
    <t>Зимнее удорожание</t>
  </si>
  <si>
    <t>6.1.1.</t>
  </si>
  <si>
    <t>Прочие затраты по проекту</t>
  </si>
  <si>
    <t>6.1.</t>
  </si>
  <si>
    <t>6.</t>
  </si>
  <si>
    <t>Комплекс работ по устройству временных зданий и сооружений на стр. площадке</t>
  </si>
  <si>
    <t>Временные здания и сооружения</t>
  </si>
  <si>
    <t>5.1.1.</t>
  </si>
  <si>
    <t>Комплекс работ по временным зданиям на СП</t>
  </si>
  <si>
    <t>5.1.</t>
  </si>
  <si>
    <t>5.</t>
  </si>
  <si>
    <t>Кабельный обогрев внутреннего двора</t>
  </si>
  <si>
    <t>4.1.1.5.</t>
  </si>
  <si>
    <t>07-01-07.2</t>
  </si>
  <si>
    <t>Жидкостный обогрев внутреннего двора</t>
  </si>
  <si>
    <t>4.1.1.4.</t>
  </si>
  <si>
    <t>07-01-07.1</t>
  </si>
  <si>
    <t>Мощение, борт, лотки. Городской тротуар</t>
  </si>
  <si>
    <t>4.1.1.3.</t>
  </si>
  <si>
    <t>07-01-06</t>
  </si>
  <si>
    <t>Малые формы</t>
  </si>
  <si>
    <t>4.1.1.2.</t>
  </si>
  <si>
    <t>07-01-05</t>
  </si>
  <si>
    <t>Мощение, борт, лотки. Внутренний двор</t>
  </si>
  <si>
    <t>07-01-04</t>
  </si>
  <si>
    <t>Комплекс работ по благоустройству территории</t>
  </si>
  <si>
    <t>4.1.1.</t>
  </si>
  <si>
    <t>4.1.</t>
  </si>
  <si>
    <t>Благоустройство территории</t>
  </si>
  <si>
    <t>4.</t>
  </si>
  <si>
    <t>Трубопроводы в коллекторе</t>
  </si>
  <si>
    <t>3.1.2.4.</t>
  </si>
  <si>
    <t>06-01-05</t>
  </si>
  <si>
    <t>ИТП. Центральный тепловой пункт.</t>
  </si>
  <si>
    <t>3.1.2.3.</t>
  </si>
  <si>
    <t>06-01-04</t>
  </si>
  <si>
    <t>Наружные сети водотведения. Канализация. Водосток.</t>
  </si>
  <si>
    <t>3.1.2.2.</t>
  </si>
  <si>
    <t>06-01-02</t>
  </si>
  <si>
    <t>Наружные сети водоснабжения</t>
  </si>
  <si>
    <t>3.1.2.1.</t>
  </si>
  <si>
    <t>06-01-01</t>
  </si>
  <si>
    <t>Наружные сети (ВС, КС, ТС)</t>
  </si>
  <si>
    <t>3.1.2.</t>
  </si>
  <si>
    <t>Наружная радификация</t>
  </si>
  <si>
    <t>3.1.1.1.3</t>
  </si>
  <si>
    <t>05-01-03</t>
  </si>
  <si>
    <t>Внешние линии связи. Прокладка ВОЛС   на участках  кассовый павильон (Алекс. сад)-павильон №1(Кутафья башня).</t>
  </si>
  <si>
    <t>3.1.1.1.2</t>
  </si>
  <si>
    <t>05-01-02</t>
  </si>
  <si>
    <t>Внешнии линии связи Прокладка ВОЛС   на участках: Красная пл., д.5 - корпус 22МК-кассовый павильон (Алекс. сад)</t>
  </si>
  <si>
    <t>3.1.1.1.1</t>
  </si>
  <si>
    <t>Устройство линий связи, ВОЛС</t>
  </si>
  <si>
    <t>Внешние линии связи, ВОЛС</t>
  </si>
  <si>
    <t>3.1.1.</t>
  </si>
  <si>
    <t>Устройство наружных сетей</t>
  </si>
  <si>
    <t>3.1.</t>
  </si>
  <si>
    <t>Наружные сети</t>
  </si>
  <si>
    <t>3.</t>
  </si>
  <si>
    <t>Разные работы (неучтенные проектной документацией затраты)</t>
  </si>
  <si>
    <t>2.2.12.1.</t>
  </si>
  <si>
    <t>Разные работы</t>
  </si>
  <si>
    <t>2.2.12.</t>
  </si>
  <si>
    <t>Вертикальный транспорт. Корпус Б.</t>
  </si>
  <si>
    <t>2.2.11.2.1</t>
  </si>
  <si>
    <t>02-02-59</t>
  </si>
  <si>
    <t>Вертикальный транспорт</t>
  </si>
  <si>
    <t>2.2.11.2.</t>
  </si>
  <si>
    <t>Технологическое оборудование общее</t>
  </si>
  <si>
    <t>2.2.11.1.12</t>
  </si>
  <si>
    <t>Система "Аудиогид"</t>
  </si>
  <si>
    <t>2.2.11.1.11</t>
  </si>
  <si>
    <t>02-02-68</t>
  </si>
  <si>
    <t>Мероприятия по противодействию террористическим актам</t>
  </si>
  <si>
    <t>2.2.11.1.10</t>
  </si>
  <si>
    <t>02-02-65</t>
  </si>
  <si>
    <t>Подземная автостоянка</t>
  </si>
  <si>
    <t>2.2.11.1.9</t>
  </si>
  <si>
    <t>02-02-60</t>
  </si>
  <si>
    <t>Система центрального пылеудаления. Корпус Б</t>
  </si>
  <si>
    <t>2.2.11.1.8</t>
  </si>
  <si>
    <t>02-02-58</t>
  </si>
  <si>
    <t>Технологические решения мусороудаления. Блок Б</t>
  </si>
  <si>
    <t>2.2.11.1.7</t>
  </si>
  <si>
    <t>02-02-57</t>
  </si>
  <si>
    <t>Технологические решения детского и образовательного центров, многофункционального зала, видеостудии и фотостудий. Корпус Б</t>
  </si>
  <si>
    <t>2.2.11.1.6</t>
  </si>
  <si>
    <t>02-02-56</t>
  </si>
  <si>
    <t>Технологическое оборудование  4 этажа  корпуса Б</t>
  </si>
  <si>
    <t>2.2.11.1.5</t>
  </si>
  <si>
    <t>02-02-55</t>
  </si>
  <si>
    <t>Технологическое оборудование цоколя и 1 этажа корпуса Б</t>
  </si>
  <si>
    <t>2.2.11.1.4</t>
  </si>
  <si>
    <t>02-02-54</t>
  </si>
  <si>
    <t>Технологическое оборудование  - 2 и - 1 этажей корпуса "Б"</t>
  </si>
  <si>
    <t>2.2.11.1.3</t>
  </si>
  <si>
    <t>02-02-53</t>
  </si>
  <si>
    <t>Технологическое оборудование для помещений фондового хранения и архива библиотеки. Блок "Б" -1 и -2 этажи</t>
  </si>
  <si>
    <t>2.2.11.1.2</t>
  </si>
  <si>
    <t>02-02-52</t>
  </si>
  <si>
    <t>Технологическое оборудование залов постоянной экспозиции</t>
  </si>
  <si>
    <t>2.2.11.1.1</t>
  </si>
  <si>
    <t>02-02-51</t>
  </si>
  <si>
    <t>Технологическое оборудование</t>
  </si>
  <si>
    <t>2.2.11.1.</t>
  </si>
  <si>
    <t>Технологические решения</t>
  </si>
  <si>
    <t>2.2.11.</t>
  </si>
  <si>
    <t>Системы оповещения и управления эвакуацией при пожаре</t>
  </si>
  <si>
    <t>2.2.10.3.6</t>
  </si>
  <si>
    <t>02-02-48</t>
  </si>
  <si>
    <t>Автоматическая система пожарной сигнализации</t>
  </si>
  <si>
    <t>2.2.10.3.5</t>
  </si>
  <si>
    <t>02-02-47</t>
  </si>
  <si>
    <t>Автоматизированная система диспетчеризации и управления инженерным оборудованием. Корпус «Б».</t>
  </si>
  <si>
    <t>2.2.10.3.4</t>
  </si>
  <si>
    <t>02-02-46</t>
  </si>
  <si>
    <t>Внутренние инженерные системы. Телекоммуникационные системы корпуса «Б».Структурированная кабельная система и ЛВС, система автоматической телефонной связи, система приема телевизионных программ, система электрочасофикации, радиовещание, система озвучивания, система аудиогид</t>
  </si>
  <si>
    <t>2.2.10.3.3</t>
  </si>
  <si>
    <t>02-02-45</t>
  </si>
  <si>
    <t>Системы безопасности. Корпус «Б». Система охранной и тревожной сигнализации, система контроля и управления доступом, система охранного телевидения.</t>
  </si>
  <si>
    <t>2.2.10.3.2</t>
  </si>
  <si>
    <t>02-02-44</t>
  </si>
  <si>
    <t>2.2.10.3.1</t>
  </si>
  <si>
    <t>Слаботочные сети</t>
  </si>
  <si>
    <t>2.2.10.3.</t>
  </si>
  <si>
    <t>Автоматическая установка газового пожаротушения</t>
  </si>
  <si>
    <t>2.2.10.2.14</t>
  </si>
  <si>
    <t>02-02-50/1.1</t>
  </si>
  <si>
    <t>Насосная станция</t>
  </si>
  <si>
    <t>2.2.10.2.13</t>
  </si>
  <si>
    <t>02-02-50</t>
  </si>
  <si>
    <t xml:space="preserve">Автоматиеческая установка водяного пожаротушения. </t>
  </si>
  <si>
    <t>2.2.10.2.12</t>
  </si>
  <si>
    <t>02-02-49</t>
  </si>
  <si>
    <t>Система противодымной вентиляции. Коорпус Б</t>
  </si>
  <si>
    <t>2.2.10.2.10</t>
  </si>
  <si>
    <t>02-02-43</t>
  </si>
  <si>
    <t>Холодоснабжение. Корпус Б</t>
  </si>
  <si>
    <t>2.2.10.2.9</t>
  </si>
  <si>
    <t>02-02-41</t>
  </si>
  <si>
    <t>Отопление. Корпус Б</t>
  </si>
  <si>
    <t>2.2.10.2.8</t>
  </si>
  <si>
    <t>02-02-40</t>
  </si>
  <si>
    <t>Теплоснабжение. Корпус Б</t>
  </si>
  <si>
    <t>2.2.10.2.7</t>
  </si>
  <si>
    <t>02-02-39</t>
  </si>
  <si>
    <t>Холодильный центр. Корпус Б</t>
  </si>
  <si>
    <t>2.2.10.2.6</t>
  </si>
  <si>
    <t>02-02-35</t>
  </si>
  <si>
    <t>Общеобменная вентиляция. Вентиляционная труба. Оси 211 и 206</t>
  </si>
  <si>
    <t>2.2.10.2.5</t>
  </si>
  <si>
    <t>02-02-33.1</t>
  </si>
  <si>
    <t>Общеобменная вентиляция. Корпус Б</t>
  </si>
  <si>
    <t>2.2.10.2.4</t>
  </si>
  <si>
    <t>02-02-33</t>
  </si>
  <si>
    <t>Система водоотведения. Корпус Б</t>
  </si>
  <si>
    <t>2.2.10.2.2</t>
  </si>
  <si>
    <t>02-02-32</t>
  </si>
  <si>
    <t>Система водоснабжения. Корпус Б</t>
  </si>
  <si>
    <t>2.2.10.2.1</t>
  </si>
  <si>
    <t>02-02-31</t>
  </si>
  <si>
    <t>Сети ОВ и ВК</t>
  </si>
  <si>
    <t>2.2.10.2.</t>
  </si>
  <si>
    <t>Магистарльные сети</t>
  </si>
  <si>
    <t>2.2.10.1.7</t>
  </si>
  <si>
    <t>02-02-72</t>
  </si>
  <si>
    <t>ОЗДС</t>
  </si>
  <si>
    <t>2.2.10.1.6</t>
  </si>
  <si>
    <t>02-02-71</t>
  </si>
  <si>
    <t>Кабельные трассы (подземная часть)</t>
  </si>
  <si>
    <t>2.2.10.1.5</t>
  </si>
  <si>
    <t>02-02-69</t>
  </si>
  <si>
    <t>Молниезащита</t>
  </si>
  <si>
    <t>2.2.10.1.4</t>
  </si>
  <si>
    <t>02-02-64</t>
  </si>
  <si>
    <t>Электропитание и автоматизированная система управления освещением зон экспозиции.</t>
  </si>
  <si>
    <t>2.2.10.1.3</t>
  </si>
  <si>
    <t>02-02-30</t>
  </si>
  <si>
    <t>Электроосвещение. Светотехническая часть. Корпус "Б"</t>
  </si>
  <si>
    <t>2.2.10.1.2</t>
  </si>
  <si>
    <t>02-02-29</t>
  </si>
  <si>
    <t>Система электроснабжения и электроосвещения</t>
  </si>
  <si>
    <t>2.2.10.1.1</t>
  </si>
  <si>
    <t>02-02-28</t>
  </si>
  <si>
    <t>Электроснабжение</t>
  </si>
  <si>
    <t>2.2.10.1.</t>
  </si>
  <si>
    <t>Внутренние инженерные сети</t>
  </si>
  <si>
    <t>2.2.10.</t>
  </si>
  <si>
    <t>Комплекс работ по ограждению лестниц</t>
  </si>
  <si>
    <t>2.2.9.1.</t>
  </si>
  <si>
    <t>Ограждение лестниц</t>
  </si>
  <si>
    <t>2.2.9.</t>
  </si>
  <si>
    <t>Отделка фасадов. Заполнение наружных проемов (двери, окна, витражи, ворота)</t>
  </si>
  <si>
    <t>2.2.8.1.</t>
  </si>
  <si>
    <t>02-02-26</t>
  </si>
  <si>
    <t>Фасадные работы</t>
  </si>
  <si>
    <t>2.2.8.</t>
  </si>
  <si>
    <t>Внутренние витражи</t>
  </si>
  <si>
    <t>2.2.7.1.</t>
  </si>
  <si>
    <t>02-02-25-1</t>
  </si>
  <si>
    <t>2.2.7.</t>
  </si>
  <si>
    <t>Заполнение внутренних дверных проемов, ворот и противопожарных штор. Корпус Б.</t>
  </si>
  <si>
    <t>2.2.6.1.</t>
  </si>
  <si>
    <t>02-02-25</t>
  </si>
  <si>
    <t>Двери</t>
  </si>
  <si>
    <t>2.2.6.</t>
  </si>
  <si>
    <t>Устройство кровли с фонарями и ограждениями</t>
  </si>
  <si>
    <t>2.2.5.1.</t>
  </si>
  <si>
    <t>02-02-24</t>
  </si>
  <si>
    <t>Устройство кровли</t>
  </si>
  <si>
    <t>2.2.5.</t>
  </si>
  <si>
    <t>Устройство полов. Корпус Б.</t>
  </si>
  <si>
    <t>2.2.4.1.</t>
  </si>
  <si>
    <t>02-02-23</t>
  </si>
  <si>
    <t>Устройство полов</t>
  </si>
  <si>
    <t>2.2.4.</t>
  </si>
  <si>
    <t>Отделка лестниц</t>
  </si>
  <si>
    <t>2.2.3.4.</t>
  </si>
  <si>
    <t>02-02-67</t>
  </si>
  <si>
    <t>Оборудование сан узлов</t>
  </si>
  <si>
    <t>2.2.3.3.</t>
  </si>
  <si>
    <t>02-02-66</t>
  </si>
  <si>
    <t>Отделка помещений</t>
  </si>
  <si>
    <t>2.2.3.1.</t>
  </si>
  <si>
    <t>02-02-22</t>
  </si>
  <si>
    <t>2.2.3.</t>
  </si>
  <si>
    <t xml:space="preserve"> Комплекс работ по устройству стеклянных переходов</t>
  </si>
  <si>
    <t>2.2.2.1.</t>
  </si>
  <si>
    <t>Устройство стеклянных переходов</t>
  </si>
  <si>
    <t>2.2.2.</t>
  </si>
  <si>
    <t>Арки</t>
  </si>
  <si>
    <t>2.2.1.3.4</t>
  </si>
  <si>
    <t>02-02-83</t>
  </si>
  <si>
    <t>Перегородки из керамзитобетонных и газобетонных блоков (надземая и подземная часть)</t>
  </si>
  <si>
    <t>2.2.1.3.3</t>
  </si>
  <si>
    <t>02-02-63</t>
  </si>
  <si>
    <t>Усиление перекрытий углепластиковым полотном</t>
  </si>
  <si>
    <t>2.2.1.3.2</t>
  </si>
  <si>
    <t>02-02-61</t>
  </si>
  <si>
    <t>Огнезащита металлических конструкций</t>
  </si>
  <si>
    <t>2.2.1.3.1</t>
  </si>
  <si>
    <t>02-02-20</t>
  </si>
  <si>
    <t>Прочие работы</t>
  </si>
  <si>
    <t>2.2.1.3.</t>
  </si>
  <si>
    <t>Лестницы, пандус -3 этаж</t>
  </si>
  <si>
    <t>2.2.1.2.3</t>
  </si>
  <si>
    <t>02-02-70</t>
  </si>
  <si>
    <t>Корп Б КМ-ФБ. Металлокаркас "звёздного неба".</t>
  </si>
  <si>
    <t>2.2.1.2.2</t>
  </si>
  <si>
    <t>02-02-19.4</t>
  </si>
  <si>
    <t>Конструктивные и объемно-планировочные решения с отм. -0,600 и 0,400 до отм.+20,800.  Конструкции металлические</t>
  </si>
  <si>
    <t>2.2.1.2.1</t>
  </si>
  <si>
    <t>02-02-19</t>
  </si>
  <si>
    <t>Металлические конструкции</t>
  </si>
  <si>
    <t>2.2.1.2.</t>
  </si>
  <si>
    <t>Вертикальные конструкции нулевого цикла. Усиление пилонов</t>
  </si>
  <si>
    <t>2.2.1.1.2</t>
  </si>
  <si>
    <t>02-02-62</t>
  </si>
  <si>
    <t>Конструктивные и объемно-планировочные решения с отм. -0,600 и 0,400 до отм.+20,800. Конструкции железобетонные</t>
  </si>
  <si>
    <t>2.2.1.1.1</t>
  </si>
  <si>
    <t>02-02-18</t>
  </si>
  <si>
    <t>Комплекс работ по устройству монолитных ж/б конструкций</t>
  </si>
  <si>
    <t>2.2.1.1.</t>
  </si>
  <si>
    <t>Надземная часть (монолитные ж/б конструкции)</t>
  </si>
  <si>
    <t>2.2.1.</t>
  </si>
  <si>
    <t>Глава 2. Основные объекты строительства</t>
  </si>
  <si>
    <t>2.2.</t>
  </si>
  <si>
    <t>Демонтаж лестниц</t>
  </si>
  <si>
    <t>2.1.1.3.</t>
  </si>
  <si>
    <t>02-02-17</t>
  </si>
  <si>
    <t>Демонтаж стен и плит перекрытия. Блок Б</t>
  </si>
  <si>
    <t>2.1.1.2.</t>
  </si>
  <si>
    <t>02-02-15</t>
  </si>
  <si>
    <t>Демонтаж колонн</t>
  </si>
  <si>
    <t>02-02-14</t>
  </si>
  <si>
    <t>Демонтажные работы</t>
  </si>
  <si>
    <t>2.1.1.</t>
  </si>
  <si>
    <t>Глава 1. Подготовка территории строительства.</t>
  </si>
  <si>
    <t>2.1.</t>
  </si>
  <si>
    <t>Новое строительство Корпус Б</t>
  </si>
  <si>
    <t>2.</t>
  </si>
  <si>
    <t>1.2.10.</t>
  </si>
  <si>
    <t>Вертикальный транспорт. Демонтаж Корпус А</t>
  </si>
  <si>
    <t>1.2.9.2.2</t>
  </si>
  <si>
    <t>02-01-99.1</t>
  </si>
  <si>
    <t>1.2.9.2.1</t>
  </si>
  <si>
    <t>02-01-99</t>
  </si>
  <si>
    <t>1.2.9.2.</t>
  </si>
  <si>
    <t>Технологические решения предприятий общественного
питания и торговых площадей.</t>
  </si>
  <si>
    <t>1.2.9.1.10</t>
  </si>
  <si>
    <t>02-01-96</t>
  </si>
  <si>
    <t>Технологические решения детского и образовательного центров, многофункционального зала, видеостудии и фотостудий. Корпус А</t>
  </si>
  <si>
    <t>1.2.9.1.9</t>
  </si>
  <si>
    <t>02-01-95</t>
  </si>
  <si>
    <t>Технологическое оборудование 4 этажа  корпуса А</t>
  </si>
  <si>
    <t>1.2.9.1.8</t>
  </si>
  <si>
    <t>02-01-94</t>
  </si>
  <si>
    <t>Технологическое оборудование 3 этажа  корпуса А</t>
  </si>
  <si>
    <t>1.2.9.1.7</t>
  </si>
  <si>
    <t>02-01-93</t>
  </si>
  <si>
    <t>Технологическое оборудование 2 этажа  корпуса А</t>
  </si>
  <si>
    <t>1.2.9.1.6</t>
  </si>
  <si>
    <t>02-01-92</t>
  </si>
  <si>
    <t>Технологическое оборудование 1 этажа  корпуса А</t>
  </si>
  <si>
    <t>1.2.9.1.5</t>
  </si>
  <si>
    <t>02-01-91</t>
  </si>
  <si>
    <t>Технологическое оборудование подвального этажа корпуса А</t>
  </si>
  <si>
    <t>1.2.9.1.4</t>
  </si>
  <si>
    <t>02-01-90</t>
  </si>
  <si>
    <t>Технологическое оборудование отделов фондохранения</t>
  </si>
  <si>
    <t>1.2.9.1.3</t>
  </si>
  <si>
    <t>02-01-89</t>
  </si>
  <si>
    <t>Монтаж витрин залов постоянной экспозиции</t>
  </si>
  <si>
    <t>1.2.9.1.2</t>
  </si>
  <si>
    <t>02-01-88.1</t>
  </si>
  <si>
    <t>Монтаж мебели и технологического оборудования залов постоянной экспозиции</t>
  </si>
  <si>
    <t>1.2.9.1.1</t>
  </si>
  <si>
    <t>02-01-88</t>
  </si>
  <si>
    <t>1.2.9.</t>
  </si>
  <si>
    <t>Специальные сети связи</t>
  </si>
  <si>
    <t>1.2.8.3.9</t>
  </si>
  <si>
    <t>02-01-118</t>
  </si>
  <si>
    <t>Организация сети связи (шкаф)</t>
  </si>
  <si>
    <t>1.2.8.3.8</t>
  </si>
  <si>
    <t>02-01-106</t>
  </si>
  <si>
    <t>1.2.8.3.7</t>
  </si>
  <si>
    <t>02-01-87</t>
  </si>
  <si>
    <t>1.2.8.3.6</t>
  </si>
  <si>
    <t>02-01-86</t>
  </si>
  <si>
    <t>1.2.8.3.5</t>
  </si>
  <si>
    <t>02-01-85</t>
  </si>
  <si>
    <t>1.2.8.3.4</t>
  </si>
  <si>
    <t>02-01-84</t>
  </si>
  <si>
    <t>Автоматизированная система диспетчеризации и управления инженерным оборудованием. Корпус «А».</t>
  </si>
  <si>
    <t>1.2.8.3.3</t>
  </si>
  <si>
    <t>02-01-83</t>
  </si>
  <si>
    <t>Внутренние инженерные системы. Телекоммуникационные системы корпуса «А».Структурированная кабельная система и ЛВС, система автоматической телефонной связи, система приема телевизионных программ, система электрочасофикации, радиовещание, система озвучивания</t>
  </si>
  <si>
    <t>1.2.8.3.2</t>
  </si>
  <si>
    <t>02-01-82</t>
  </si>
  <si>
    <t>Системы безопасности. Корпус «А». Система охранной и тревожной сигнализации, система контроля и управления доступом, система охранного телевидения.</t>
  </si>
  <si>
    <t>1.2.8.3.1</t>
  </si>
  <si>
    <t>02-01-81</t>
  </si>
  <si>
    <t>1.2.8.3.</t>
  </si>
  <si>
    <t>Система противодымной вентиляции. Основное оборудование</t>
  </si>
  <si>
    <t>1.2.8.2.10</t>
  </si>
  <si>
    <t>02-011-80_1</t>
  </si>
  <si>
    <t>Система противодымной вентиляции</t>
  </si>
  <si>
    <t>1.2.8.2.9</t>
  </si>
  <si>
    <t>02-01-80</t>
  </si>
  <si>
    <t>Корпус А. Холодоснабжение</t>
  </si>
  <si>
    <t>1.2.8.2.8</t>
  </si>
  <si>
    <t>02-01-78</t>
  </si>
  <si>
    <t>Теплоснабжение. Корпус А</t>
  </si>
  <si>
    <t>1.2.8.2.7</t>
  </si>
  <si>
    <t>02-01-77</t>
  </si>
  <si>
    <t>Отопление. Корпус А</t>
  </si>
  <si>
    <t>1.2.8.2.6</t>
  </si>
  <si>
    <t>02-01-76</t>
  </si>
  <si>
    <t>Кондиционирование. Корпус А</t>
  </si>
  <si>
    <t>1.2.8.2.5</t>
  </si>
  <si>
    <t>02-01-75</t>
  </si>
  <si>
    <t>Общеобменная вентиляция. Сети. Корпус А</t>
  </si>
  <si>
    <t>1.2.8.2.4</t>
  </si>
  <si>
    <t>02-01-74</t>
  </si>
  <si>
    <t>Основное оборудование. Общеобменная вентиляция. Корпус А</t>
  </si>
  <si>
    <t>1.2.8.2.3</t>
  </si>
  <si>
    <t>02-01-73</t>
  </si>
  <si>
    <t>Система водоотведения. Корпус А</t>
  </si>
  <si>
    <t>1.2.8.2.2</t>
  </si>
  <si>
    <t>02-01-71</t>
  </si>
  <si>
    <t>Система водоснабжения. Корпус А</t>
  </si>
  <si>
    <t>1.2.8.2.1</t>
  </si>
  <si>
    <t>02-01-70</t>
  </si>
  <si>
    <t>1.2.8.2.</t>
  </si>
  <si>
    <t>Магистральные сети</t>
  </si>
  <si>
    <t>1.2.8.1.8</t>
  </si>
  <si>
    <t>02-01-122</t>
  </si>
  <si>
    <t>1.2.8.1.7</t>
  </si>
  <si>
    <t>02-01-119</t>
  </si>
  <si>
    <t>Кабельные трассы (КТ)</t>
  </si>
  <si>
    <t>1.2.8.1.6</t>
  </si>
  <si>
    <t>02-01-111</t>
  </si>
  <si>
    <t>Вечернее и праздничное освещение фасадов корпуса А. Светотехническая часть</t>
  </si>
  <si>
    <t>1.2.8.1.5</t>
  </si>
  <si>
    <t>02-01-69</t>
  </si>
  <si>
    <t>Освещение внутридворового пространства. Светотехническая часть.</t>
  </si>
  <si>
    <t>1.2.8.1.4</t>
  </si>
  <si>
    <t>02-01-68</t>
  </si>
  <si>
    <t>Электропитание и автоматизированняа система управления освещением. Корпус "А"</t>
  </si>
  <si>
    <t>1.2.8.1.3</t>
  </si>
  <si>
    <t>02-01-67</t>
  </si>
  <si>
    <t>Электроосвещение. Светотехническая часть. Корпус А</t>
  </si>
  <si>
    <t>1.2.8.1.2</t>
  </si>
  <si>
    <t>02-01-66</t>
  </si>
  <si>
    <t>Система электроснабжения, электроосвещения. Корпус "А".</t>
  </si>
  <si>
    <t>1.2.8.1.1</t>
  </si>
  <si>
    <t>02-01-65</t>
  </si>
  <si>
    <t>1.2.8.</t>
  </si>
  <si>
    <t>Реставрация сводов в подвале</t>
  </si>
  <si>
    <t>1.2.7.4.6</t>
  </si>
  <si>
    <t>02-01-108</t>
  </si>
  <si>
    <t>Лицевой фасад (сопутствующие работы)</t>
  </si>
  <si>
    <t>1.2.7.4.5</t>
  </si>
  <si>
    <t>02-01-113.1</t>
  </si>
  <si>
    <t>Лицевой фасад</t>
  </si>
  <si>
    <t>1.2.7.4.4</t>
  </si>
  <si>
    <t>02-01-113</t>
  </si>
  <si>
    <t>Реставрация исторических стен</t>
  </si>
  <si>
    <t>1.2.7.4.3</t>
  </si>
  <si>
    <t>02-01-110</t>
  </si>
  <si>
    <t>Дворовой фасад (сопутствующие работы)</t>
  </si>
  <si>
    <t>1.2.7.4.2</t>
  </si>
  <si>
    <t>02-01-115.1</t>
  </si>
  <si>
    <t>Дворовой фасад</t>
  </si>
  <si>
    <t>1.2.7.4.1</t>
  </si>
  <si>
    <t>02-01-115</t>
  </si>
  <si>
    <t>Лицевые и дворовые фасады, реставрация исторических стен</t>
  </si>
  <si>
    <t>1.2.7.4.</t>
  </si>
  <si>
    <t>Л-13. 15, 16, 17, 18, 20, 23. 24 Вычинка.</t>
  </si>
  <si>
    <t>1.2.7.3.11</t>
  </si>
  <si>
    <t>02-01-101</t>
  </si>
  <si>
    <t>Реставрационные работы в помещении лестницы в осях 29-32 (угол Красной площади и ул. Варварка) - сопутствующие работы</t>
  </si>
  <si>
    <t>1.2.7.3.10</t>
  </si>
  <si>
    <t xml:space="preserve">02-01-62.1 </t>
  </si>
  <si>
    <t>Реставрационные работы в помещении лестницы в осях 29-32 (угол Красной площади и ул. Варварка)</t>
  </si>
  <si>
    <t>1.2.7.3.9</t>
  </si>
  <si>
    <t>02-01-62</t>
  </si>
  <si>
    <t>Реставрационные работы в помещении служебной лестницы в осях 22-24 (сопутствующие работы)</t>
  </si>
  <si>
    <t>1.2.7.3.8</t>
  </si>
  <si>
    <t>02-01-61.1</t>
  </si>
  <si>
    <t>Реставрационные работы в помещении служебной лестницы в осях 22-24</t>
  </si>
  <si>
    <t>1.2.7.3.7</t>
  </si>
  <si>
    <t>02-01-61</t>
  </si>
  <si>
    <t>Реставрационные работы в помещении лестницы в осях 1-4 (угол Красной площади и ул. Ильинка) - сопутствующие работы</t>
  </si>
  <si>
    <t>1.2.7.3.6</t>
  </si>
  <si>
    <t>02-01-60.1</t>
  </si>
  <si>
    <t>Реставрационные работы в помещении лестницы в осях 1-4 (угол Красной площади и ул. Ильинка)</t>
  </si>
  <si>
    <t>1.2.7.3.5</t>
  </si>
  <si>
    <t>02-01-60</t>
  </si>
  <si>
    <t>Реставрационные работы в помещении лестницы в осях 13-16 (южной) - сопутствующие работы</t>
  </si>
  <si>
    <t>1.2.7.3.4</t>
  </si>
  <si>
    <t xml:space="preserve">02-01-59.1 </t>
  </si>
  <si>
    <t>Реставрационные работы в помещении лестницы в осях 13-16 (южной)</t>
  </si>
  <si>
    <t>1.2.7.3.3</t>
  </si>
  <si>
    <t>02-01-59</t>
  </si>
  <si>
    <t>Реставрационные работы в помещении лестницы в осях 9-12 (северной) - сопутствующие работы</t>
  </si>
  <si>
    <t>1.2.7.3.2</t>
  </si>
  <si>
    <t>02-01-58.1</t>
  </si>
  <si>
    <t>Реставрационные работы в помещении лестницы в осях 9-12 (северной)</t>
  </si>
  <si>
    <t>1.2.7.3.1</t>
  </si>
  <si>
    <t>02-01-58</t>
  </si>
  <si>
    <t>Помещения лестниц</t>
  </si>
  <si>
    <t>1.2.7.3.</t>
  </si>
  <si>
    <t>Интерьеры смежных подразделений</t>
  </si>
  <si>
    <t>1.2.7.2.</t>
  </si>
  <si>
    <t>Воссоздание конструкций купола Зала собраний Общества акционеров (сопутствующие работы)</t>
  </si>
  <si>
    <t>1.2.7.1.5</t>
  </si>
  <si>
    <t>02-01-105</t>
  </si>
  <si>
    <t>Воссоздание конструкций купола зала собраний акционеров. Усиление под штукатурные тяги</t>
  </si>
  <si>
    <t>1.2.7.1.4</t>
  </si>
  <si>
    <t>02-01-104.2</t>
  </si>
  <si>
    <t>Воссоздание конструкций купола Зала собраний Общества акционеров</t>
  </si>
  <si>
    <t>1.2.7.1.3</t>
  </si>
  <si>
    <t>02-01-104</t>
  </si>
  <si>
    <t>Реставрация интерьеров Зала собраний Общества акционеров (сопутствующие)</t>
  </si>
  <si>
    <t>1.2.7.1.2</t>
  </si>
  <si>
    <t>02-01-56.1</t>
  </si>
  <si>
    <t>Реставрация интерьеров Зала собраний Общества акционеров</t>
  </si>
  <si>
    <t>1.2.7.1.1</t>
  </si>
  <si>
    <t>02-01-56</t>
  </si>
  <si>
    <t>Интерьеры Зала собраний</t>
  </si>
  <si>
    <t>Реставрационные работы</t>
  </si>
  <si>
    <t>1.2.7.</t>
  </si>
  <si>
    <t>Устройство внутренних витражей</t>
  </si>
  <si>
    <t>02-01-55-1</t>
  </si>
  <si>
    <t>1.2.6.</t>
  </si>
  <si>
    <t>Устройство внутренних дверных проемов</t>
  </si>
  <si>
    <t>1.2.5.2.</t>
  </si>
  <si>
    <t>02-01-55</t>
  </si>
  <si>
    <t>Запонение внутренних дверных проемов (лестницы)</t>
  </si>
  <si>
    <t>02-01-55-2</t>
  </si>
  <si>
    <t>Внутренние дверные проемы</t>
  </si>
  <si>
    <t>1.2.5.</t>
  </si>
  <si>
    <t>02-01-54</t>
  </si>
  <si>
    <t>1.2.4.</t>
  </si>
  <si>
    <t>Устройство перегородок</t>
  </si>
  <si>
    <t>1.2.3.6.</t>
  </si>
  <si>
    <t>02-01-107</t>
  </si>
  <si>
    <t>Архитектурные решения. Чердак.</t>
  </si>
  <si>
    <t>1.2.3.5.</t>
  </si>
  <si>
    <t>02-01-116</t>
  </si>
  <si>
    <t>Оборудование сан. узлов</t>
  </si>
  <si>
    <t>1.2.3.4.</t>
  </si>
  <si>
    <t>02-01-112</t>
  </si>
  <si>
    <t>Отделка помещений (прочая отделка)</t>
  </si>
  <si>
    <t>1.2.3.3.</t>
  </si>
  <si>
    <t>02-01-53.1</t>
  </si>
  <si>
    <t>Отделочные работы Л-3.0, Л-3.1, Л-4.0, Л-9.0, Л-10, Л-11.1, Л-14.0, Л-19.0, Л-21, Л-25</t>
  </si>
  <si>
    <t>1.2.3.2.</t>
  </si>
  <si>
    <t>02-01-114</t>
  </si>
  <si>
    <t>02-01-109</t>
  </si>
  <si>
    <t>Отделочные работы</t>
  </si>
  <si>
    <t>1.2.3.</t>
  </si>
  <si>
    <t xml:space="preserve">Корпус А Коллектор </t>
  </si>
  <si>
    <t>1.2.2.3.3</t>
  </si>
  <si>
    <t>02-01-121</t>
  </si>
  <si>
    <t>Окна (демонтаж и зашивка)</t>
  </si>
  <si>
    <t>1.2.2.3.2</t>
  </si>
  <si>
    <t>02-01-120.1</t>
  </si>
  <si>
    <t>Усиление исторических конструкций инъектированием</t>
  </si>
  <si>
    <t>1.2.2.3.1</t>
  </si>
  <si>
    <t>02-01-102</t>
  </si>
  <si>
    <t>1.2.2.3.</t>
  </si>
  <si>
    <t>Отсечная гидроизоляция</t>
  </si>
  <si>
    <t>1.2.2.2.</t>
  </si>
  <si>
    <t>02-01-51</t>
  </si>
  <si>
    <t>Сверление отверстий</t>
  </si>
  <si>
    <t xml:space="preserve">1.2.2.1. </t>
  </si>
  <si>
    <t>Прочие общестроительные работы</t>
  </si>
  <si>
    <t>1.2.2.</t>
  </si>
  <si>
    <t>Огнезащита металлических лестниц. Корпус А.</t>
  </si>
  <si>
    <t>1.2.1.3.3</t>
  </si>
  <si>
    <t>02-01-42</t>
  </si>
  <si>
    <t xml:space="preserve">Усиление перекрытий углепластиковым волокном </t>
  </si>
  <si>
    <t>1.2.1.3.2</t>
  </si>
  <si>
    <t>02-01-103.1</t>
  </si>
  <si>
    <t>1.2.1.3.1</t>
  </si>
  <si>
    <t>02-01-103</t>
  </si>
  <si>
    <t>1.2.1.3.</t>
  </si>
  <si>
    <t>Монтаж металлоконструкций</t>
  </si>
  <si>
    <t>1.2.1.2.</t>
  </si>
  <si>
    <t>Конструкции крылец, пандусов</t>
  </si>
  <si>
    <t>1.2.1.1.6</t>
  </si>
  <si>
    <t>02-01-117</t>
  </si>
  <si>
    <t>Устройство перекрытия и покрытия арочного проезда в осях 30-34/Ж1-И1 (Полы рампы)</t>
  </si>
  <si>
    <t>1.2.1.1.5</t>
  </si>
  <si>
    <t>02-01-50</t>
  </si>
  <si>
    <t>Устройство приямков в подвале</t>
  </si>
  <si>
    <t>1.2.1.1.4</t>
  </si>
  <si>
    <t>02-01-46</t>
  </si>
  <si>
    <t>Устройство монолитных ж/б лестниц ЛК-3а; Лк-8;  ЛК-9; ЛК-23; ЛК-25</t>
  </si>
  <si>
    <t>1.2.1.1.3</t>
  </si>
  <si>
    <t>02-01-43</t>
  </si>
  <si>
    <t>Устройство плиты перекрытия на отм. +14,820 (+12,460). Междуэтажное перекрытия в осях 10-24/А-Е1.</t>
  </si>
  <si>
    <t>1.2.1.1.2</t>
  </si>
  <si>
    <t>02-01-40</t>
  </si>
  <si>
    <t>Железобетонные конструкции (фундаменты, стены, перекрытия, лестницы, основания под ростверки, плиты по грунту)</t>
  </si>
  <si>
    <t>1.2.1.1.1</t>
  </si>
  <si>
    <t>02-01-39</t>
  </si>
  <si>
    <t>Монолитные ж/б работы</t>
  </si>
  <si>
    <t>Надземная часть</t>
  </si>
  <si>
    <t>1.2.1.</t>
  </si>
  <si>
    <t>1.2.</t>
  </si>
  <si>
    <t>Демонтажные работы по реконструируемому зданию</t>
  </si>
  <si>
    <t>1.1.1.2.</t>
  </si>
  <si>
    <t>02-01-52</t>
  </si>
  <si>
    <t>Демонтаж существующих конструкций</t>
  </si>
  <si>
    <t>02-01-38</t>
  </si>
  <si>
    <t>Демонтаж существующих зданий</t>
  </si>
  <si>
    <t>1.1.1.</t>
  </si>
  <si>
    <t>Глава 1. Подготовка территории к строительству</t>
  </si>
  <si>
    <t>1.1.</t>
  </si>
  <si>
    <t>Реставрация и реконструкция Корпус А</t>
  </si>
  <si>
    <t>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</si>
</sst>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_-* #,##0.00_р_._-;\-* #,##0.00_р_._-;_-* &quot;-&quot;??_р_._-;_-@_-"/>
  </numFmts>
  <fonts count="2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indexed="12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0"/>
      <name val="Arial"/>
      <family val="2"/>
    </font>
    <font>
      <sz val="8"/>
      <name val="Arial"/>
      <family val="2"/>
      <charset val="204"/>
    </font>
    <font>
      <sz val="10"/>
      <name val="Calibri Light"/>
      <family val="2"/>
      <charset val="204"/>
    </font>
    <font>
      <sz val="11"/>
      <name val="Calibri Light"/>
      <family val="2"/>
      <charset val="204"/>
    </font>
    <font>
      <b/>
      <sz val="10"/>
      <name val="Calibri Light"/>
      <family val="2"/>
      <charset val="204"/>
    </font>
    <font>
      <sz val="10"/>
      <color rgb="FF000000"/>
      <name val="Arial"/>
      <family val="2"/>
      <charset val="204"/>
    </font>
    <font>
      <sz val="11"/>
      <color indexed="8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9" fontId="13" fillId="0" borderId="0" applyFont="0" applyFill="0" applyBorder="0" applyAlignment="0" applyProtection="0"/>
    <xf numFmtId="0" fontId="2" fillId="0" borderId="0"/>
    <xf numFmtId="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" fillId="0" borderId="0"/>
  </cellStyleXfs>
  <cellXfs count="8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16" fillId="3" borderId="0" xfId="0" applyFont="1" applyFill="1" applyAlignment="1">
      <alignment vertical="center" wrapText="1"/>
    </xf>
    <xf numFmtId="164" fontId="0" fillId="2" borderId="0" xfId="1" applyNumberFormat="1" applyFont="1" applyFill="1"/>
    <xf numFmtId="164" fontId="0" fillId="3" borderId="0" xfId="1" applyNumberFormat="1" applyFont="1" applyFill="1"/>
    <xf numFmtId="164" fontId="0" fillId="0" borderId="0" xfId="1" applyNumberFormat="1" applyFont="1"/>
    <xf numFmtId="0" fontId="0" fillId="4" borderId="0" xfId="0" applyFill="1"/>
    <xf numFmtId="0" fontId="17" fillId="4" borderId="1" xfId="0" applyFont="1" applyFill="1" applyBorder="1"/>
    <xf numFmtId="0" fontId="17" fillId="4" borderId="0" xfId="0" applyFont="1" applyFill="1" applyBorder="1"/>
    <xf numFmtId="0" fontId="17" fillId="4" borderId="2" xfId="0" applyFont="1" applyFill="1" applyBorder="1"/>
    <xf numFmtId="0" fontId="18" fillId="4" borderId="1" xfId="0" applyFont="1" applyFill="1" applyBorder="1"/>
    <xf numFmtId="0" fontId="18" fillId="4" borderId="0" xfId="0" applyFont="1" applyFill="1" applyBorder="1"/>
    <xf numFmtId="0" fontId="18" fillId="4" borderId="2" xfId="0" applyFont="1" applyFill="1" applyBorder="1"/>
    <xf numFmtId="0" fontId="19" fillId="4" borderId="6" xfId="0" applyFont="1" applyFill="1" applyBorder="1"/>
    <xf numFmtId="0" fontId="17" fillId="4" borderId="7" xfId="0" applyFont="1" applyFill="1" applyBorder="1"/>
    <xf numFmtId="0" fontId="17" fillId="4" borderId="8" xfId="0" applyFont="1" applyFill="1" applyBorder="1"/>
    <xf numFmtId="0" fontId="17" fillId="4" borderId="3" xfId="0" applyFont="1" applyFill="1" applyBorder="1"/>
    <xf numFmtId="0" fontId="17" fillId="4" borderId="4" xfId="0" applyFont="1" applyFill="1" applyBorder="1"/>
    <xf numFmtId="0" fontId="17" fillId="4" borderId="5" xfId="0" applyFont="1" applyFill="1" applyBorder="1"/>
    <xf numFmtId="0" fontId="17" fillId="4" borderId="0" xfId="0" applyFont="1" applyFill="1"/>
    <xf numFmtId="0" fontId="18" fillId="4" borderId="3" xfId="0" applyFont="1" applyFill="1" applyBorder="1"/>
    <xf numFmtId="0" fontId="18" fillId="4" borderId="4" xfId="0" applyFont="1" applyFill="1" applyBorder="1"/>
    <xf numFmtId="0" fontId="18" fillId="4" borderId="5" xfId="0" applyFont="1" applyFill="1" applyBorder="1"/>
    <xf numFmtId="0" fontId="0" fillId="0" borderId="0" xfId="0" applyBorder="1"/>
    <xf numFmtId="0" fontId="15" fillId="0" borderId="9" xfId="2" applyFont="1" applyBorder="1"/>
    <xf numFmtId="0" fontId="15" fillId="0" borderId="11" xfId="2" applyFont="1" applyBorder="1"/>
    <xf numFmtId="10" fontId="2" fillId="0" borderId="12" xfId="2" applyNumberFormat="1" applyBorder="1"/>
    <xf numFmtId="10" fontId="0" fillId="0" borderId="0" xfId="0" applyNumberFormat="1" applyBorder="1"/>
    <xf numFmtId="0" fontId="15" fillId="0" borderId="13" xfId="2" applyFont="1" applyBorder="1"/>
    <xf numFmtId="0" fontId="2" fillId="0" borderId="0" xfId="2" applyBorder="1"/>
    <xf numFmtId="0" fontId="2" fillId="0" borderId="0" xfId="2"/>
    <xf numFmtId="10" fontId="2" fillId="0" borderId="14" xfId="2" applyNumberFormat="1" applyBorder="1"/>
    <xf numFmtId="10" fontId="12" fillId="0" borderId="0" xfId="0" applyNumberFormat="1" applyFont="1" applyBorder="1"/>
    <xf numFmtId="10" fontId="12" fillId="0" borderId="0" xfId="0" applyNumberFormat="1" applyFont="1" applyFill="1" applyBorder="1"/>
    <xf numFmtId="10" fontId="2" fillId="0" borderId="10" xfId="2" applyNumberFormat="1" applyBorder="1"/>
    <xf numFmtId="0" fontId="0" fillId="0" borderId="11" xfId="0" applyBorder="1"/>
    <xf numFmtId="0" fontId="0" fillId="0" borderId="12" xfId="0" applyBorder="1"/>
    <xf numFmtId="0" fontId="12" fillId="0" borderId="0" xfId="0" applyFont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0" borderId="0" xfId="5"/>
    <xf numFmtId="164" fontId="0" fillId="2" borderId="0" xfId="6" applyNumberFormat="1" applyFont="1" applyFill="1"/>
    <xf numFmtId="0" fontId="12" fillId="0" borderId="0" xfId="5" applyAlignment="1">
      <alignment vertical="center" wrapText="1"/>
    </xf>
    <xf numFmtId="0" fontId="12" fillId="0" borderId="0" xfId="5" applyAlignment="1">
      <alignment vertical="center"/>
    </xf>
    <xf numFmtId="0" fontId="12" fillId="5" borderId="0" xfId="5" applyFill="1" applyAlignment="1">
      <alignment vertical="center" wrapText="1"/>
    </xf>
    <xf numFmtId="0" fontId="12" fillId="5" borderId="0" xfId="5" applyFill="1" applyAlignment="1">
      <alignment vertical="center"/>
    </xf>
    <xf numFmtId="0" fontId="12" fillId="2" borderId="0" xfId="5" applyFill="1" applyAlignment="1">
      <alignment vertical="center" wrapText="1"/>
    </xf>
    <xf numFmtId="0" fontId="12" fillId="2" borderId="0" xfId="5" applyFill="1" applyAlignment="1">
      <alignment vertical="center"/>
    </xf>
    <xf numFmtId="0" fontId="12" fillId="6" borderId="0" xfId="5" applyFill="1" applyAlignment="1">
      <alignment vertical="center" wrapText="1"/>
    </xf>
    <xf numFmtId="0" fontId="12" fillId="6" borderId="0" xfId="5" applyFill="1" applyAlignment="1">
      <alignment vertical="center"/>
    </xf>
    <xf numFmtId="0" fontId="12" fillId="7" borderId="0" xfId="5" applyFill="1" applyAlignment="1">
      <alignment vertical="center" wrapText="1"/>
    </xf>
    <xf numFmtId="0" fontId="12" fillId="7" borderId="0" xfId="5" applyFill="1" applyAlignment="1">
      <alignment vertical="center"/>
    </xf>
    <xf numFmtId="0" fontId="12" fillId="0" borderId="0" xfId="5" applyFont="1"/>
    <xf numFmtId="2" fontId="12" fillId="6" borderId="0" xfId="5" applyNumberFormat="1" applyFill="1" applyAlignment="1">
      <alignment vertical="center"/>
    </xf>
    <xf numFmtId="49" fontId="12" fillId="6" borderId="0" xfId="5" applyNumberFormat="1" applyFill="1" applyAlignment="1">
      <alignment vertical="center"/>
    </xf>
    <xf numFmtId="0" fontId="12" fillId="2" borderId="0" xfId="5" applyFont="1" applyFill="1" applyAlignment="1">
      <alignment vertical="center" wrapText="1"/>
    </xf>
    <xf numFmtId="10" fontId="1" fillId="0" borderId="14" xfId="7" applyNumberFormat="1" applyBorder="1"/>
    <xf numFmtId="0" fontId="15" fillId="0" borderId="13" xfId="7" applyFont="1" applyBorder="1"/>
    <xf numFmtId="10" fontId="1" fillId="0" borderId="12" xfId="7" applyNumberFormat="1" applyBorder="1"/>
    <xf numFmtId="0" fontId="15" fillId="0" borderId="11" xfId="7" applyFont="1" applyBorder="1"/>
    <xf numFmtId="0" fontId="12" fillId="0" borderId="12" xfId="5" applyBorder="1"/>
    <xf numFmtId="0" fontId="12" fillId="0" borderId="11" xfId="5" applyBorder="1"/>
    <xf numFmtId="0" fontId="1" fillId="0" borderId="0" xfId="7"/>
    <xf numFmtId="10" fontId="1" fillId="0" borderId="10" xfId="7" applyNumberFormat="1" applyBorder="1"/>
    <xf numFmtId="0" fontId="15" fillId="0" borderId="9" xfId="7" applyFont="1" applyBorder="1"/>
  </cellXfs>
  <cellStyles count="8">
    <cellStyle name="Обычный" xfId="0" builtinId="0"/>
    <cellStyle name="Обычный 2" xfId="2"/>
    <cellStyle name="Обычный 2 2" xfId="7"/>
    <cellStyle name="Обычный 3" xfId="5"/>
    <cellStyle name="Процентный" xfId="1" builtinId="5"/>
    <cellStyle name="Процентный 2" xfId="3"/>
    <cellStyle name="Процентный 3" xfId="6"/>
    <cellStyle name="Финансовый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161925</xdr:rowOff>
        </xdr:from>
        <xdr:to>
          <xdr:col>9</xdr:col>
          <xdr:colOff>590550</xdr:colOff>
          <xdr:row>9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 исходник и преобразовать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6</xdr:row>
          <xdr:rowOff>161925</xdr:rowOff>
        </xdr:from>
        <xdr:to>
          <xdr:col>5</xdr:col>
          <xdr:colOff>219075</xdr:colOff>
          <xdr:row>9</xdr:row>
          <xdr:rowOff>76200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 исходник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.igolnikov\AppData\Local\Microsoft\Windows\INetCache\Content.Outlook\JW1EODNH\&#1050;&#1086;&#1084;&#1057;&#1084;%2002-01-10%201%20&#1057;&#1080;&#1089;&#1090;&#1077;&#1084;&#1072;%20&#1086;&#1090;&#1086;&#1087;&#1083;&#1077;&#1085;&#1080;&#1103;%20(11%2003%20202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0;&#1086;&#1084;&#1057;&#1084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мСм"/>
      <sheetName val="раб.лист"/>
      <sheetName val="МиМ"/>
      <sheetName val="МР"/>
      <sheetName val="КС-2"/>
      <sheetName val="реестр и 1С"/>
      <sheetName val="БЮДЖЕТ"/>
    </sheetNames>
    <sheetDataSet>
      <sheetData sheetId="0">
        <row r="1">
          <cell r="K1" t="str">
            <v>Статья бюджета</v>
          </cell>
        </row>
        <row r="571">
          <cell r="G571">
            <v>25585641.179776803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мСм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1"/>
  <dimension ref="B2:J25"/>
  <sheetViews>
    <sheetView tabSelected="1" workbookViewId="0">
      <selection activeCell="K18" sqref="K18"/>
    </sheetView>
  </sheetViews>
  <sheetFormatPr defaultRowHeight="12.75" x14ac:dyDescent="0.2"/>
  <cols>
    <col min="1" max="9" width="9.140625" style="22"/>
    <col min="10" max="10" width="14" style="22" customWidth="1"/>
    <col min="11" max="16384" width="9.140625" style="22"/>
  </cols>
  <sheetData>
    <row r="2" spans="2:10" x14ac:dyDescent="0.2">
      <c r="B2" s="29" t="s">
        <v>366</v>
      </c>
      <c r="C2" s="30"/>
      <c r="D2" s="30"/>
      <c r="E2" s="30"/>
      <c r="F2" s="30"/>
      <c r="G2" s="30"/>
      <c r="H2" s="30"/>
      <c r="I2" s="30"/>
      <c r="J2" s="31"/>
    </row>
    <row r="3" spans="2:10" x14ac:dyDescent="0.2">
      <c r="B3" s="23"/>
      <c r="C3" s="24"/>
      <c r="D3" s="24"/>
      <c r="E3" s="24"/>
      <c r="F3" s="24"/>
      <c r="G3" s="24"/>
      <c r="H3" s="24"/>
      <c r="I3" s="24"/>
      <c r="J3" s="25"/>
    </row>
    <row r="4" spans="2:10" ht="15" x14ac:dyDescent="0.25">
      <c r="B4" s="26" t="s">
        <v>367</v>
      </c>
      <c r="C4" s="27"/>
      <c r="D4" s="27"/>
      <c r="E4" s="27"/>
      <c r="F4" s="27"/>
      <c r="G4" s="27"/>
      <c r="H4" s="27"/>
      <c r="I4" s="27"/>
      <c r="J4" s="28"/>
    </row>
    <row r="5" spans="2:10" ht="15" x14ac:dyDescent="0.25">
      <c r="B5" s="26"/>
      <c r="C5" s="27"/>
      <c r="D5" s="27"/>
      <c r="E5" s="27"/>
      <c r="F5" s="27"/>
      <c r="G5" s="27"/>
      <c r="H5" s="27"/>
      <c r="I5" s="27"/>
      <c r="J5" s="28"/>
    </row>
    <row r="6" spans="2:10" ht="15" x14ac:dyDescent="0.25">
      <c r="B6" s="26"/>
      <c r="C6" s="27"/>
      <c r="D6" s="27"/>
      <c r="E6" s="27"/>
      <c r="F6" s="27"/>
      <c r="G6" s="27"/>
      <c r="H6" s="27"/>
      <c r="I6" s="27"/>
      <c r="J6" s="28"/>
    </row>
    <row r="7" spans="2:10" ht="15" x14ac:dyDescent="0.25">
      <c r="B7" s="26"/>
      <c r="C7" s="27"/>
      <c r="D7" s="27"/>
      <c r="E7" s="27"/>
      <c r="F7" s="27"/>
      <c r="G7" s="27"/>
      <c r="H7" s="27"/>
      <c r="I7" s="27"/>
      <c r="J7" s="28"/>
    </row>
    <row r="8" spans="2:10" ht="15" x14ac:dyDescent="0.25">
      <c r="B8" s="26"/>
      <c r="C8" s="27"/>
      <c r="D8" s="27"/>
      <c r="E8" s="27"/>
      <c r="F8" s="27"/>
      <c r="G8" s="27"/>
      <c r="H8" s="27"/>
      <c r="I8" s="27"/>
      <c r="J8" s="28"/>
    </row>
    <row r="9" spans="2:10" x14ac:dyDescent="0.2">
      <c r="B9" s="23"/>
      <c r="C9" s="24"/>
      <c r="D9" s="24"/>
      <c r="E9" s="24"/>
      <c r="F9" s="24"/>
      <c r="G9" s="24"/>
      <c r="H9" s="24"/>
      <c r="I9" s="24"/>
      <c r="J9" s="25"/>
    </row>
    <row r="10" spans="2:10" x14ac:dyDescent="0.2">
      <c r="B10" s="23"/>
      <c r="C10" s="24"/>
      <c r="D10" s="24"/>
      <c r="E10" s="24"/>
      <c r="F10" s="24"/>
      <c r="G10" s="24"/>
      <c r="H10" s="24"/>
      <c r="I10" s="24"/>
      <c r="J10" s="25"/>
    </row>
    <row r="11" spans="2:10" x14ac:dyDescent="0.2">
      <c r="B11" s="32"/>
      <c r="C11" s="33"/>
      <c r="D11" s="33"/>
      <c r="E11" s="33"/>
      <c r="F11" s="33"/>
      <c r="G11" s="33"/>
      <c r="H11" s="33"/>
      <c r="I11" s="33"/>
      <c r="J11" s="34"/>
    </row>
    <row r="12" spans="2:10" x14ac:dyDescent="0.2">
      <c r="B12" s="35"/>
      <c r="C12" s="35"/>
      <c r="D12" s="35"/>
      <c r="E12" s="35"/>
      <c r="F12" s="35"/>
      <c r="G12" s="35"/>
      <c r="H12" s="35"/>
      <c r="I12" s="35"/>
      <c r="J12" s="35"/>
    </row>
    <row r="13" spans="2:10" x14ac:dyDescent="0.2">
      <c r="B13" s="29" t="s">
        <v>368</v>
      </c>
      <c r="C13" s="30"/>
      <c r="D13" s="30"/>
      <c r="E13" s="30"/>
      <c r="F13" s="30"/>
      <c r="G13" s="30"/>
      <c r="H13" s="30"/>
      <c r="I13" s="30"/>
      <c r="J13" s="31"/>
    </row>
    <row r="14" spans="2:10" ht="15" x14ac:dyDescent="0.25">
      <c r="B14" s="26"/>
      <c r="C14" s="27"/>
      <c r="D14" s="27"/>
      <c r="E14" s="27"/>
      <c r="F14" s="27"/>
      <c r="G14" s="27"/>
      <c r="H14" s="27"/>
      <c r="I14" s="27"/>
      <c r="J14" s="28"/>
    </row>
    <row r="15" spans="2:10" ht="15" x14ac:dyDescent="0.25">
      <c r="B15" s="26" t="s">
        <v>369</v>
      </c>
      <c r="C15" s="27"/>
      <c r="D15" s="27"/>
      <c r="E15" s="27"/>
      <c r="F15" s="27"/>
      <c r="G15" s="27"/>
      <c r="H15" s="27"/>
      <c r="I15" s="27"/>
      <c r="J15" s="28"/>
    </row>
    <row r="16" spans="2:10" ht="15" x14ac:dyDescent="0.25">
      <c r="B16" s="26" t="s">
        <v>370</v>
      </c>
      <c r="C16" s="27"/>
      <c r="D16" s="27"/>
      <c r="E16" s="27"/>
      <c r="F16" s="27"/>
      <c r="G16" s="27"/>
      <c r="H16" s="27"/>
      <c r="I16" s="27"/>
      <c r="J16" s="28"/>
    </row>
    <row r="17" spans="2:10" ht="15" x14ac:dyDescent="0.25">
      <c r="B17" s="26" t="s">
        <v>371</v>
      </c>
      <c r="C17" s="27"/>
      <c r="D17" s="27"/>
      <c r="E17" s="27"/>
      <c r="F17" s="27"/>
      <c r="G17" s="27"/>
      <c r="H17" s="27"/>
      <c r="I17" s="27"/>
      <c r="J17" s="28"/>
    </row>
    <row r="18" spans="2:10" ht="15" x14ac:dyDescent="0.25">
      <c r="B18" s="26" t="s">
        <v>372</v>
      </c>
      <c r="C18" s="27"/>
      <c r="D18" s="27"/>
      <c r="E18" s="27"/>
      <c r="F18" s="27"/>
      <c r="G18" s="27"/>
      <c r="H18" s="27"/>
      <c r="I18" s="27"/>
      <c r="J18" s="28"/>
    </row>
    <row r="19" spans="2:10" ht="15" x14ac:dyDescent="0.25">
      <c r="B19" s="26"/>
      <c r="C19" s="27"/>
      <c r="D19" s="27"/>
      <c r="E19" s="27"/>
      <c r="F19" s="27"/>
      <c r="G19" s="27"/>
      <c r="H19" s="27"/>
      <c r="I19" s="27"/>
      <c r="J19" s="28"/>
    </row>
    <row r="20" spans="2:10" ht="15" x14ac:dyDescent="0.25">
      <c r="B20" s="26"/>
      <c r="C20" s="27"/>
      <c r="D20" s="27"/>
      <c r="E20" s="27"/>
      <c r="F20" s="27"/>
      <c r="G20" s="27"/>
      <c r="H20" s="27"/>
      <c r="I20" s="27"/>
      <c r="J20" s="28"/>
    </row>
    <row r="21" spans="2:10" ht="15" x14ac:dyDescent="0.25">
      <c r="B21" s="26"/>
      <c r="C21" s="27"/>
      <c r="D21" s="27"/>
      <c r="E21" s="27"/>
      <c r="F21" s="27"/>
      <c r="G21" s="27"/>
      <c r="H21" s="27"/>
      <c r="I21" s="27"/>
      <c r="J21" s="28"/>
    </row>
    <row r="22" spans="2:10" ht="15" x14ac:dyDescent="0.25">
      <c r="B22" s="26"/>
      <c r="C22" s="27"/>
      <c r="D22" s="27"/>
      <c r="E22" s="27"/>
      <c r="F22" s="27"/>
      <c r="G22" s="27"/>
      <c r="H22" s="27"/>
      <c r="I22" s="27"/>
      <c r="J22" s="28"/>
    </row>
    <row r="23" spans="2:10" ht="15" x14ac:dyDescent="0.25">
      <c r="B23" s="26"/>
      <c r="C23" s="27"/>
      <c r="D23" s="27"/>
      <c r="E23" s="27"/>
      <c r="F23" s="27"/>
      <c r="G23" s="27"/>
      <c r="H23" s="27"/>
      <c r="I23" s="27"/>
      <c r="J23" s="28"/>
    </row>
    <row r="24" spans="2:10" ht="15" x14ac:dyDescent="0.25">
      <c r="B24" s="36"/>
      <c r="C24" s="37"/>
      <c r="D24" s="37"/>
      <c r="E24" s="37"/>
      <c r="F24" s="37"/>
      <c r="G24" s="37"/>
      <c r="H24" s="37"/>
      <c r="I24" s="37"/>
      <c r="J24" s="38"/>
    </row>
    <row r="25" spans="2:10" x14ac:dyDescent="0.2">
      <c r="B25" s="35"/>
      <c r="C25" s="35"/>
      <c r="D25" s="35"/>
      <c r="E25" s="35"/>
      <c r="F25" s="35"/>
      <c r="G25" s="35"/>
      <c r="H25" s="35"/>
      <c r="I25" s="35"/>
      <c r="J25" s="3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SmetaAndTransform_click">
                <anchor moveWithCells="1" sizeWithCells="1">
                  <from>
                    <xdr:col>6</xdr:col>
                    <xdr:colOff>95250</xdr:colOff>
                    <xdr:row>6</xdr:row>
                    <xdr:rowOff>161925</xdr:rowOff>
                  </from>
                  <to>
                    <xdr:col>9</xdr:col>
                    <xdr:colOff>590550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openSmeta_click">
                <anchor moveWithCells="1" sizeWithCells="1">
                  <from>
                    <xdr:col>1</xdr:col>
                    <xdr:colOff>333375</xdr:colOff>
                    <xdr:row>6</xdr:row>
                    <xdr:rowOff>161925</xdr:rowOff>
                  </from>
                  <to>
                    <xdr:col>5</xdr:col>
                    <xdr:colOff>219075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4"/>
  <sheetViews>
    <sheetView topLeftCell="A4" workbookViewId="0">
      <selection activeCell="B4" sqref="B4"/>
    </sheetView>
  </sheetViews>
  <sheetFormatPr defaultRowHeight="12.75" x14ac:dyDescent="0.2"/>
  <sheetData>
    <row r="1" spans="1:2" x14ac:dyDescent="0.2">
      <c r="A1" s="11" t="s">
        <v>148</v>
      </c>
      <c r="B1" s="11" t="s">
        <v>149</v>
      </c>
    </row>
    <row r="2" spans="1:2" x14ac:dyDescent="0.2">
      <c r="A2" s="10" t="s">
        <v>145</v>
      </c>
      <c r="B2" t="s">
        <v>147</v>
      </c>
    </row>
    <row r="3" spans="1:2" x14ac:dyDescent="0.2">
      <c r="A3" s="10" t="s">
        <v>145</v>
      </c>
      <c r="B3" s="10" t="s">
        <v>373</v>
      </c>
    </row>
    <row r="4" spans="1:2" x14ac:dyDescent="0.2">
      <c r="A4" s="10" t="s">
        <v>146</v>
      </c>
      <c r="B4" s="10" t="s">
        <v>4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outlinePr summaryBelow="0"/>
  </sheetPr>
  <dimension ref="A1:J263"/>
  <sheetViews>
    <sheetView zoomScale="70" zoomScaleNormal="70" workbookViewId="0">
      <selection activeCell="B6" sqref="B6"/>
    </sheetView>
  </sheetViews>
  <sheetFormatPr defaultColWidth="8.85546875" defaultRowHeight="12.75" outlineLevelRow="1" x14ac:dyDescent="0.2"/>
  <cols>
    <col min="1" max="1" width="25.28515625" style="55" customWidth="1"/>
    <col min="2" max="2" width="10.28515625" style="55" bestFit="1" customWidth="1"/>
    <col min="3" max="3" width="63.140625" style="55" customWidth="1"/>
    <col min="4" max="4" width="14.7109375" style="55" customWidth="1"/>
    <col min="5" max="7" width="14.28515625" style="55" customWidth="1"/>
    <col min="8" max="9" width="13.140625" style="55" customWidth="1"/>
    <col min="10" max="10" width="11.28515625" style="55" customWidth="1"/>
    <col min="11" max="11" width="13.140625" style="55" bestFit="1" customWidth="1"/>
    <col min="12" max="12" width="11.28515625" style="55" bestFit="1" customWidth="1"/>
    <col min="13" max="13" width="13.140625" style="55" bestFit="1" customWidth="1"/>
    <col min="14" max="14" width="11.28515625" style="55" bestFit="1" customWidth="1"/>
    <col min="15" max="17" width="13.140625" style="55" bestFit="1" customWidth="1"/>
    <col min="18" max="18" width="8.85546875" style="55"/>
    <col min="19" max="19" width="14.28515625" style="55" bestFit="1" customWidth="1"/>
    <col min="20" max="21" width="13.140625" style="55" bestFit="1" customWidth="1"/>
    <col min="22" max="27" width="9.28515625" style="55" bestFit="1" customWidth="1"/>
    <col min="28" max="16384" width="8.85546875" style="55"/>
  </cols>
  <sheetData>
    <row r="1" spans="1:10" ht="15" x14ac:dyDescent="0.25">
      <c r="A1" s="79" t="s">
        <v>150</v>
      </c>
      <c r="B1" s="78" t="e">
        <f>INDEX($B$10:$R$2000,MATCH($F$2,$B$10:$B$2000,0),MATCH(A1,$B$11:$Q$11,0)+$D$2)</f>
        <v>#REF!</v>
      </c>
      <c r="D1" s="77"/>
      <c r="E1" s="77"/>
      <c r="F1" s="77" t="s">
        <v>377</v>
      </c>
      <c r="G1" s="77" t="s">
        <v>378</v>
      </c>
    </row>
    <row r="2" spans="1:10" ht="15.75" thickBot="1" x14ac:dyDescent="0.3">
      <c r="A2" s="74" t="s">
        <v>63</v>
      </c>
      <c r="B2" s="73">
        <v>2.4799999999999999E-2</v>
      </c>
      <c r="D2" s="77"/>
      <c r="E2" s="77"/>
      <c r="F2" s="77" t="e">
        <f>[2]КомСм!K3</f>
        <v>#REF!</v>
      </c>
      <c r="G2" s="77" t="e">
        <f>INDEX($B$10:$C$85,MATCH(F2,$B$10:$B$85,0),2)</f>
        <v>#REF!</v>
      </c>
    </row>
    <row r="3" spans="1:10" ht="15.75" thickBot="1" x14ac:dyDescent="0.3">
      <c r="A3" s="74" t="s">
        <v>151</v>
      </c>
      <c r="B3" s="78" t="e">
        <f>INDEX($B$10:$R$2000,MATCH($F$2,$B$10:$B$2000,0),MATCH(A3,$B$11:$Q$11,0)+$D$2)</f>
        <v>#REF!</v>
      </c>
    </row>
    <row r="4" spans="1:10" ht="15.75" thickBot="1" x14ac:dyDescent="0.3">
      <c r="A4" s="74" t="s">
        <v>155</v>
      </c>
      <c r="B4" s="78" t="e">
        <f>INDEX($B$10:$R$2000,MATCH($F$2,$B$10:$B$2000,0),MATCH(A4,$B$11:$Q$11,0)+$D$2)</f>
        <v>#REF!</v>
      </c>
    </row>
    <row r="5" spans="1:10" ht="15.75" thickBot="1" x14ac:dyDescent="0.3">
      <c r="A5" s="74" t="s">
        <v>157</v>
      </c>
      <c r="B5" s="78" t="e">
        <f>INDEX($B$10:$R$2000,MATCH($F$2,$B$10:$B$2000,0),MATCH(A5,$B$11:$Q$11,0)+$D$2)</f>
        <v>#REF!</v>
      </c>
    </row>
    <row r="6" spans="1:10" ht="15" x14ac:dyDescent="0.25">
      <c r="A6" s="74" t="s">
        <v>374</v>
      </c>
      <c r="B6" s="78" t="e">
        <f>INDEX($B$10:$R$2000,MATCH($F$2,$B$10:$B$2000,0),MATCH(A6,$B$11:$Q$11,0)+$D$2)</f>
        <v>#REF!</v>
      </c>
    </row>
    <row r="7" spans="1:10" x14ac:dyDescent="0.2">
      <c r="A7" s="76"/>
      <c r="B7" s="75"/>
    </row>
    <row r="8" spans="1:10" ht="15" x14ac:dyDescent="0.25">
      <c r="A8" s="74"/>
      <c r="B8" s="73"/>
    </row>
    <row r="9" spans="1:10" ht="15.75" thickBot="1" x14ac:dyDescent="0.3">
      <c r="A9" s="72"/>
      <c r="B9" s="71"/>
    </row>
    <row r="11" spans="1:10" s="57" customFormat="1" ht="25.5" outlineLevel="1" x14ac:dyDescent="0.2">
      <c r="A11" s="57" t="s">
        <v>379</v>
      </c>
      <c r="B11" s="57" t="s">
        <v>380</v>
      </c>
      <c r="C11" s="57" t="s">
        <v>378</v>
      </c>
      <c r="D11" s="61" t="s">
        <v>154</v>
      </c>
      <c r="E11" s="61" t="s">
        <v>150</v>
      </c>
      <c r="F11" s="61" t="s">
        <v>151</v>
      </c>
      <c r="G11" s="61" t="s">
        <v>155</v>
      </c>
      <c r="H11" s="61" t="s">
        <v>156</v>
      </c>
      <c r="I11" s="61" t="s">
        <v>157</v>
      </c>
      <c r="J11" s="70" t="s">
        <v>374</v>
      </c>
    </row>
    <row r="12" spans="1:10" outlineLevel="1" x14ac:dyDescent="0.2">
      <c r="A12" s="69"/>
      <c r="B12" s="68" t="s">
        <v>969</v>
      </c>
      <c r="C12" s="63" t="s">
        <v>968</v>
      </c>
      <c r="D12" s="56"/>
      <c r="E12" s="56"/>
      <c r="F12" s="56"/>
      <c r="G12" s="56"/>
      <c r="H12" s="56"/>
      <c r="I12" s="56"/>
      <c r="J12" s="56"/>
    </row>
    <row r="13" spans="1:10" outlineLevel="1" x14ac:dyDescent="0.2">
      <c r="A13" s="62"/>
      <c r="B13" s="62" t="s">
        <v>967</v>
      </c>
      <c r="C13" s="61" t="s">
        <v>966</v>
      </c>
      <c r="D13" s="56">
        <v>0.39</v>
      </c>
      <c r="E13" s="56">
        <v>4.9000000000000002E-2</v>
      </c>
      <c r="F13" s="56">
        <v>0</v>
      </c>
      <c r="G13" s="56">
        <v>7.9000000000000001E-2</v>
      </c>
      <c r="H13" s="56">
        <f>D13-E13-F13-G13</f>
        <v>0.26200000000000001</v>
      </c>
      <c r="I13" s="56">
        <v>2.9000000000000001E-2</v>
      </c>
      <c r="J13" s="56">
        <v>0.21</v>
      </c>
    </row>
    <row r="14" spans="1:10" outlineLevel="1" x14ac:dyDescent="0.2">
      <c r="A14" s="60"/>
      <c r="B14" s="60" t="s">
        <v>965</v>
      </c>
      <c r="C14" s="59" t="s">
        <v>964</v>
      </c>
      <c r="D14" s="56">
        <v>0.39</v>
      </c>
      <c r="E14" s="56">
        <v>4.9000000000000002E-2</v>
      </c>
      <c r="F14" s="56">
        <v>0</v>
      </c>
      <c r="G14" s="56">
        <v>7.9000000000000001E-2</v>
      </c>
      <c r="H14" s="56">
        <f>D14-E14-F14-G14</f>
        <v>0.26200000000000001</v>
      </c>
      <c r="I14" s="56">
        <v>2.9000000000000001E-2</v>
      </c>
      <c r="J14" s="56">
        <v>0.21</v>
      </c>
    </row>
    <row r="15" spans="1:10" outlineLevel="1" x14ac:dyDescent="0.2">
      <c r="A15" s="60" t="s">
        <v>963</v>
      </c>
      <c r="B15" s="60" t="s">
        <v>159</v>
      </c>
      <c r="C15" s="59" t="s">
        <v>962</v>
      </c>
      <c r="D15" s="56">
        <v>0.39</v>
      </c>
      <c r="E15" s="56">
        <v>4.9000000000000002E-2</v>
      </c>
      <c r="F15" s="56">
        <v>0</v>
      </c>
      <c r="G15" s="56">
        <v>7.9000000000000001E-2</v>
      </c>
      <c r="H15" s="56">
        <f>D15-E15-F15-G15</f>
        <v>0.26200000000000001</v>
      </c>
      <c r="I15" s="56">
        <v>2.9000000000000001E-2</v>
      </c>
      <c r="J15" s="56">
        <v>0.21</v>
      </c>
    </row>
    <row r="16" spans="1:10" outlineLevel="1" x14ac:dyDescent="0.2">
      <c r="A16" s="58" t="s">
        <v>961</v>
      </c>
      <c r="B16" s="58" t="s">
        <v>960</v>
      </c>
      <c r="C16" s="57" t="s">
        <v>959</v>
      </c>
      <c r="D16" s="56"/>
      <c r="E16" s="56">
        <v>4.9000000000000002E-2</v>
      </c>
      <c r="F16" s="56">
        <v>0</v>
      </c>
      <c r="G16" s="56"/>
      <c r="H16" s="56"/>
      <c r="I16" s="56"/>
      <c r="J16" s="56"/>
    </row>
    <row r="17" spans="1:10" outlineLevel="1" x14ac:dyDescent="0.2">
      <c r="A17" s="62"/>
      <c r="B17" s="62" t="s">
        <v>958</v>
      </c>
      <c r="C17" s="61" t="s">
        <v>671</v>
      </c>
      <c r="D17" s="56"/>
      <c r="E17" s="56">
        <v>4.9000000000000002E-2</v>
      </c>
      <c r="F17" s="56">
        <v>0</v>
      </c>
      <c r="G17" s="56"/>
      <c r="H17" s="56"/>
      <c r="I17" s="56"/>
      <c r="J17" s="56"/>
    </row>
    <row r="18" spans="1:10" outlineLevel="1" x14ac:dyDescent="0.2">
      <c r="A18" s="62"/>
      <c r="B18" s="62"/>
      <c r="C18" s="61" t="s">
        <v>13</v>
      </c>
      <c r="D18" s="56"/>
      <c r="E18" s="56">
        <v>4.9000000000000002E-2</v>
      </c>
      <c r="F18" s="56">
        <v>0</v>
      </c>
      <c r="G18" s="56"/>
      <c r="H18" s="56"/>
      <c r="I18" s="56"/>
      <c r="J18" s="56"/>
    </row>
    <row r="19" spans="1:10" outlineLevel="1" x14ac:dyDescent="0.2">
      <c r="A19" s="60"/>
      <c r="B19" s="60" t="s">
        <v>957</v>
      </c>
      <c r="C19" s="59" t="s">
        <v>956</v>
      </c>
      <c r="D19" s="56">
        <v>0.19</v>
      </c>
      <c r="E19" s="56">
        <v>4.9000000000000002E-2</v>
      </c>
      <c r="F19" s="56">
        <v>0</v>
      </c>
      <c r="G19" s="56">
        <v>3.3000000000000002E-2</v>
      </c>
      <c r="H19" s="56">
        <f t="shared" ref="H19:H50" si="0">D19-E19-F19-G19</f>
        <v>0.10800000000000001</v>
      </c>
      <c r="I19" s="56">
        <v>2.1999999999999999E-2</v>
      </c>
      <c r="J19" s="56">
        <v>8.6999999999999994E-2</v>
      </c>
    </row>
    <row r="20" spans="1:10" outlineLevel="1" x14ac:dyDescent="0.2">
      <c r="A20" s="58"/>
      <c r="B20" s="58" t="s">
        <v>197</v>
      </c>
      <c r="C20" s="57" t="s">
        <v>955</v>
      </c>
      <c r="D20" s="56">
        <v>0.19</v>
      </c>
      <c r="E20" s="56">
        <v>4.9000000000000002E-2</v>
      </c>
      <c r="F20" s="56">
        <v>0</v>
      </c>
      <c r="G20" s="56">
        <v>3.3000000000000002E-2</v>
      </c>
      <c r="H20" s="56">
        <f t="shared" si="0"/>
        <v>0.10800000000000001</v>
      </c>
      <c r="I20" s="56">
        <v>2.1999999999999999E-2</v>
      </c>
      <c r="J20" s="56">
        <v>8.6999999999999994E-2</v>
      </c>
    </row>
    <row r="21" spans="1:10" ht="25.5" outlineLevel="1" x14ac:dyDescent="0.2">
      <c r="A21" s="58" t="s">
        <v>954</v>
      </c>
      <c r="B21" s="58" t="s">
        <v>953</v>
      </c>
      <c r="C21" s="57" t="s">
        <v>952</v>
      </c>
      <c r="D21" s="56">
        <v>0.19</v>
      </c>
      <c r="E21" s="56">
        <v>4.9000000000000002E-2</v>
      </c>
      <c r="F21" s="56">
        <v>0</v>
      </c>
      <c r="G21" s="56">
        <v>3.3000000000000002E-2</v>
      </c>
      <c r="H21" s="56">
        <f t="shared" si="0"/>
        <v>0.10800000000000001</v>
      </c>
      <c r="I21" s="56">
        <v>2.1999999999999999E-2</v>
      </c>
      <c r="J21" s="56">
        <v>8.6999999999999994E-2</v>
      </c>
    </row>
    <row r="22" spans="1:10" ht="25.5" outlineLevel="1" x14ac:dyDescent="0.2">
      <c r="A22" s="58" t="s">
        <v>951</v>
      </c>
      <c r="B22" s="58" t="s">
        <v>950</v>
      </c>
      <c r="C22" s="57" t="s">
        <v>949</v>
      </c>
      <c r="D22" s="56">
        <v>0.19</v>
      </c>
      <c r="E22" s="56">
        <v>4.9000000000000002E-2</v>
      </c>
      <c r="F22" s="56">
        <v>0</v>
      </c>
      <c r="G22" s="56">
        <v>3.3000000000000002E-2</v>
      </c>
      <c r="H22" s="56">
        <f t="shared" si="0"/>
        <v>0.10800000000000001</v>
      </c>
      <c r="I22" s="56">
        <v>2.1999999999999999E-2</v>
      </c>
      <c r="J22" s="56">
        <v>8.6999999999999994E-2</v>
      </c>
    </row>
    <row r="23" spans="1:10" outlineLevel="1" x14ac:dyDescent="0.2">
      <c r="A23" s="58" t="s">
        <v>948</v>
      </c>
      <c r="B23" s="58" t="s">
        <v>947</v>
      </c>
      <c r="C23" s="57" t="s">
        <v>946</v>
      </c>
      <c r="D23" s="56">
        <v>0.19</v>
      </c>
      <c r="E23" s="56">
        <v>4.9000000000000002E-2</v>
      </c>
      <c r="F23" s="56">
        <v>0</v>
      </c>
      <c r="G23" s="56">
        <v>3.3000000000000002E-2</v>
      </c>
      <c r="H23" s="56">
        <f t="shared" si="0"/>
        <v>0.10800000000000001</v>
      </c>
      <c r="I23" s="56">
        <v>2.1999999999999999E-2</v>
      </c>
      <c r="J23" s="56">
        <v>8.6999999999999994E-2</v>
      </c>
    </row>
    <row r="24" spans="1:10" outlineLevel="1" x14ac:dyDescent="0.2">
      <c r="A24" s="58" t="s">
        <v>945</v>
      </c>
      <c r="B24" s="58" t="s">
        <v>944</v>
      </c>
      <c r="C24" s="57" t="s">
        <v>943</v>
      </c>
      <c r="D24" s="56">
        <v>0.19</v>
      </c>
      <c r="E24" s="56">
        <v>4.9000000000000002E-2</v>
      </c>
      <c r="F24" s="56">
        <v>0</v>
      </c>
      <c r="G24" s="56">
        <v>3.3000000000000002E-2</v>
      </c>
      <c r="H24" s="56">
        <f t="shared" si="0"/>
        <v>0.10800000000000001</v>
      </c>
      <c r="I24" s="56">
        <v>2.1999999999999999E-2</v>
      </c>
      <c r="J24" s="56">
        <v>8.6999999999999994E-2</v>
      </c>
    </row>
    <row r="25" spans="1:10" ht="25.5" outlineLevel="1" x14ac:dyDescent="0.2">
      <c r="A25" s="58" t="s">
        <v>942</v>
      </c>
      <c r="B25" s="58" t="s">
        <v>941</v>
      </c>
      <c r="C25" s="57" t="s">
        <v>940</v>
      </c>
      <c r="D25" s="56">
        <v>0.19</v>
      </c>
      <c r="E25" s="56">
        <v>4.9000000000000002E-2</v>
      </c>
      <c r="F25" s="56">
        <v>0</v>
      </c>
      <c r="G25" s="56">
        <v>3.3000000000000002E-2</v>
      </c>
      <c r="H25" s="56">
        <f t="shared" si="0"/>
        <v>0.10800000000000001</v>
      </c>
      <c r="I25" s="56">
        <v>2.1999999999999999E-2</v>
      </c>
      <c r="J25" s="56">
        <v>8.6999999999999994E-2</v>
      </c>
    </row>
    <row r="26" spans="1:10" outlineLevel="1" x14ac:dyDescent="0.2">
      <c r="A26" s="58" t="s">
        <v>939</v>
      </c>
      <c r="B26" s="58" t="s">
        <v>938</v>
      </c>
      <c r="C26" s="57" t="s">
        <v>937</v>
      </c>
      <c r="D26" s="56">
        <v>0.19</v>
      </c>
      <c r="E26" s="56">
        <v>4.9000000000000002E-2</v>
      </c>
      <c r="F26" s="56">
        <v>0</v>
      </c>
      <c r="G26" s="56">
        <v>3.3000000000000002E-2</v>
      </c>
      <c r="H26" s="56">
        <f t="shared" si="0"/>
        <v>0.10800000000000001</v>
      </c>
      <c r="I26" s="56">
        <v>2.1999999999999999E-2</v>
      </c>
      <c r="J26" s="56">
        <v>8.6999999999999994E-2</v>
      </c>
    </row>
    <row r="27" spans="1:10" outlineLevel="1" x14ac:dyDescent="0.2">
      <c r="A27" s="58"/>
      <c r="B27" s="58" t="s">
        <v>936</v>
      </c>
      <c r="C27" s="57" t="s">
        <v>935</v>
      </c>
      <c r="D27" s="56">
        <v>0.19</v>
      </c>
      <c r="E27" s="56">
        <v>4.9000000000000002E-2</v>
      </c>
      <c r="F27" s="56">
        <v>0</v>
      </c>
      <c r="G27" s="56">
        <v>3.3000000000000002E-2</v>
      </c>
      <c r="H27" s="56">
        <f t="shared" si="0"/>
        <v>0.10800000000000001</v>
      </c>
      <c r="I27" s="56">
        <v>2.1999999999999999E-2</v>
      </c>
      <c r="J27" s="56">
        <v>8.6999999999999994E-2</v>
      </c>
    </row>
    <row r="28" spans="1:10" outlineLevel="1" x14ac:dyDescent="0.2">
      <c r="A28" s="58"/>
      <c r="B28" s="58" t="s">
        <v>934</v>
      </c>
      <c r="C28" s="57" t="s">
        <v>648</v>
      </c>
      <c r="D28" s="56">
        <v>0.19</v>
      </c>
      <c r="E28" s="56">
        <v>4.9000000000000002E-2</v>
      </c>
      <c r="F28" s="56">
        <v>0</v>
      </c>
      <c r="G28" s="56">
        <v>3.3000000000000002E-2</v>
      </c>
      <c r="H28" s="56">
        <f t="shared" si="0"/>
        <v>0.10800000000000001</v>
      </c>
      <c r="I28" s="56">
        <v>2.1999999999999999E-2</v>
      </c>
      <c r="J28" s="56">
        <v>8.6999999999999994E-2</v>
      </c>
    </row>
    <row r="29" spans="1:10" outlineLevel="1" x14ac:dyDescent="0.2">
      <c r="A29" s="58" t="s">
        <v>933</v>
      </c>
      <c r="B29" s="58" t="s">
        <v>932</v>
      </c>
      <c r="C29" s="57" t="s">
        <v>929</v>
      </c>
      <c r="D29" s="56">
        <v>0.19</v>
      </c>
      <c r="E29" s="56">
        <v>4.9000000000000002E-2</v>
      </c>
      <c r="F29" s="56">
        <v>0</v>
      </c>
      <c r="G29" s="56">
        <v>3.3000000000000002E-2</v>
      </c>
      <c r="H29" s="56">
        <f t="shared" si="0"/>
        <v>0.10800000000000001</v>
      </c>
      <c r="I29" s="56">
        <v>2.1999999999999999E-2</v>
      </c>
      <c r="J29" s="56">
        <v>8.6999999999999994E-2</v>
      </c>
    </row>
    <row r="30" spans="1:10" outlineLevel="1" x14ac:dyDescent="0.2">
      <c r="A30" s="58" t="s">
        <v>931</v>
      </c>
      <c r="B30" s="58" t="s">
        <v>930</v>
      </c>
      <c r="C30" s="57" t="s">
        <v>929</v>
      </c>
      <c r="D30" s="56">
        <v>0.19</v>
      </c>
      <c r="E30" s="56">
        <v>4.9000000000000002E-2</v>
      </c>
      <c r="F30" s="56">
        <v>0</v>
      </c>
      <c r="G30" s="56">
        <v>3.3000000000000002E-2</v>
      </c>
      <c r="H30" s="56">
        <f t="shared" si="0"/>
        <v>0.10800000000000001</v>
      </c>
      <c r="I30" s="56">
        <v>2.1999999999999999E-2</v>
      </c>
      <c r="J30" s="56">
        <v>8.6999999999999994E-2</v>
      </c>
    </row>
    <row r="31" spans="1:10" outlineLevel="1" x14ac:dyDescent="0.2">
      <c r="A31" s="58" t="s">
        <v>928</v>
      </c>
      <c r="B31" s="58" t="s">
        <v>927</v>
      </c>
      <c r="C31" s="57" t="s">
        <v>926</v>
      </c>
      <c r="D31" s="56">
        <v>0.19</v>
      </c>
      <c r="E31" s="56">
        <v>4.9000000000000002E-2</v>
      </c>
      <c r="F31" s="56">
        <v>0</v>
      </c>
      <c r="G31" s="56">
        <v>3.3000000000000002E-2</v>
      </c>
      <c r="H31" s="56">
        <f t="shared" si="0"/>
        <v>0.10800000000000001</v>
      </c>
      <c r="I31" s="56">
        <v>2.1999999999999999E-2</v>
      </c>
      <c r="J31" s="56">
        <v>8.6999999999999994E-2</v>
      </c>
    </row>
    <row r="32" spans="1:10" outlineLevel="1" x14ac:dyDescent="0.2">
      <c r="A32" s="60"/>
      <c r="B32" s="60" t="s">
        <v>925</v>
      </c>
      <c r="C32" s="59" t="s">
        <v>924</v>
      </c>
      <c r="D32" s="56">
        <v>0.24</v>
      </c>
      <c r="E32" s="56">
        <v>4.9000000000000002E-2</v>
      </c>
      <c r="F32" s="56">
        <v>0</v>
      </c>
      <c r="G32" s="56">
        <v>4.3999999999999997E-2</v>
      </c>
      <c r="H32" s="56">
        <f t="shared" si="0"/>
        <v>0.14700000000000002</v>
      </c>
      <c r="I32" s="56">
        <v>2.9000000000000001E-2</v>
      </c>
      <c r="J32" s="56">
        <v>0.11700000000000001</v>
      </c>
    </row>
    <row r="33" spans="1:10" outlineLevel="1" x14ac:dyDescent="0.2">
      <c r="A33" s="58"/>
      <c r="B33" s="58" t="s">
        <v>923</v>
      </c>
      <c r="C33" s="57" t="s">
        <v>922</v>
      </c>
      <c r="D33" s="56">
        <v>0.24</v>
      </c>
      <c r="E33" s="56">
        <v>4.9000000000000002E-2</v>
      </c>
      <c r="F33" s="56">
        <v>0</v>
      </c>
      <c r="G33" s="56">
        <v>4.3999999999999997E-2</v>
      </c>
      <c r="H33" s="56">
        <f t="shared" si="0"/>
        <v>0.14700000000000002</v>
      </c>
      <c r="I33" s="56">
        <v>2.9000000000000001E-2</v>
      </c>
      <c r="J33" s="56">
        <v>0.11700000000000001</v>
      </c>
    </row>
    <row r="34" spans="1:10" outlineLevel="1" x14ac:dyDescent="0.2">
      <c r="A34" s="58" t="s">
        <v>921</v>
      </c>
      <c r="B34" s="58" t="s">
        <v>920</v>
      </c>
      <c r="C34" s="57" t="s">
        <v>919</v>
      </c>
      <c r="D34" s="56">
        <v>0.24</v>
      </c>
      <c r="E34" s="56">
        <v>4.9000000000000002E-2</v>
      </c>
      <c r="F34" s="56">
        <v>0</v>
      </c>
      <c r="G34" s="56">
        <v>4.3999999999999997E-2</v>
      </c>
      <c r="H34" s="56">
        <f t="shared" si="0"/>
        <v>0.14700000000000002</v>
      </c>
      <c r="I34" s="56">
        <v>2.9000000000000001E-2</v>
      </c>
      <c r="J34" s="56">
        <v>0.11700000000000001</v>
      </c>
    </row>
    <row r="35" spans="1:10" outlineLevel="1" x14ac:dyDescent="0.2">
      <c r="A35" s="58"/>
      <c r="B35" s="58" t="s">
        <v>918</v>
      </c>
      <c r="C35" s="57" t="s">
        <v>648</v>
      </c>
      <c r="D35" s="56">
        <v>0.24</v>
      </c>
      <c r="E35" s="56">
        <v>4.9000000000000002E-2</v>
      </c>
      <c r="F35" s="56">
        <v>0</v>
      </c>
      <c r="G35" s="56">
        <v>4.3999999999999997E-2</v>
      </c>
      <c r="H35" s="56">
        <f t="shared" si="0"/>
        <v>0.14700000000000002</v>
      </c>
      <c r="I35" s="56">
        <v>2.9000000000000001E-2</v>
      </c>
      <c r="J35" s="56">
        <v>0.11700000000000001</v>
      </c>
    </row>
    <row r="36" spans="1:10" outlineLevel="1" x14ac:dyDescent="0.2">
      <c r="A36" s="58" t="s">
        <v>917</v>
      </c>
      <c r="B36" s="58" t="s">
        <v>916</v>
      </c>
      <c r="C36" s="57" t="s">
        <v>915</v>
      </c>
      <c r="D36" s="56">
        <v>0.24</v>
      </c>
      <c r="E36" s="56">
        <v>4.9000000000000002E-2</v>
      </c>
      <c r="F36" s="56">
        <v>0</v>
      </c>
      <c r="G36" s="56">
        <v>4.3999999999999997E-2</v>
      </c>
      <c r="H36" s="56">
        <f t="shared" si="0"/>
        <v>0.14700000000000002</v>
      </c>
      <c r="I36" s="56">
        <v>2.9000000000000001E-2</v>
      </c>
      <c r="J36" s="56">
        <v>0.11700000000000001</v>
      </c>
    </row>
    <row r="37" spans="1:10" outlineLevel="1" x14ac:dyDescent="0.2">
      <c r="A37" s="58" t="s">
        <v>914</v>
      </c>
      <c r="B37" s="58" t="s">
        <v>913</v>
      </c>
      <c r="C37" s="57" t="s">
        <v>912</v>
      </c>
      <c r="D37" s="56">
        <v>0.24</v>
      </c>
      <c r="E37" s="56">
        <v>4.9000000000000002E-2</v>
      </c>
      <c r="F37" s="56">
        <v>0</v>
      </c>
      <c r="G37" s="56">
        <v>4.3999999999999997E-2</v>
      </c>
      <c r="H37" s="56">
        <f t="shared" si="0"/>
        <v>0.14700000000000002</v>
      </c>
      <c r="I37" s="56">
        <v>2.9000000000000001E-2</v>
      </c>
      <c r="J37" s="56">
        <v>0.11700000000000001</v>
      </c>
    </row>
    <row r="38" spans="1:10" outlineLevel="1" x14ac:dyDescent="0.2">
      <c r="A38" s="58" t="s">
        <v>911</v>
      </c>
      <c r="B38" s="58" t="s">
        <v>910</v>
      </c>
      <c r="C38" s="57" t="s">
        <v>909</v>
      </c>
      <c r="D38" s="56">
        <v>0.24</v>
      </c>
      <c r="E38" s="56">
        <v>4.9000000000000002E-2</v>
      </c>
      <c r="F38" s="56">
        <v>0</v>
      </c>
      <c r="G38" s="56">
        <v>4.3999999999999997E-2</v>
      </c>
      <c r="H38" s="56">
        <f t="shared" si="0"/>
        <v>0.14700000000000002</v>
      </c>
      <c r="I38" s="56">
        <v>2.9000000000000001E-2</v>
      </c>
      <c r="J38" s="56">
        <v>0.11700000000000001</v>
      </c>
    </row>
    <row r="39" spans="1:10" outlineLevel="1" x14ac:dyDescent="0.2">
      <c r="A39" s="60"/>
      <c r="B39" s="60" t="s">
        <v>908</v>
      </c>
      <c r="C39" s="59" t="s">
        <v>907</v>
      </c>
      <c r="D39" s="56">
        <v>0.24</v>
      </c>
      <c r="E39" s="56">
        <v>4.9000000000000002E-2</v>
      </c>
      <c r="F39" s="56">
        <v>0</v>
      </c>
      <c r="G39" s="56">
        <v>4.3999999999999997E-2</v>
      </c>
      <c r="H39" s="56">
        <f t="shared" si="0"/>
        <v>0.14700000000000002</v>
      </c>
      <c r="I39" s="56">
        <v>2.9000000000000001E-2</v>
      </c>
      <c r="J39" s="56">
        <v>0.11700000000000001</v>
      </c>
    </row>
    <row r="40" spans="1:10" outlineLevel="1" x14ac:dyDescent="0.2">
      <c r="A40" s="58" t="s">
        <v>906</v>
      </c>
      <c r="B40" s="58" t="s">
        <v>202</v>
      </c>
      <c r="C40" s="57" t="s">
        <v>628</v>
      </c>
      <c r="D40" s="56">
        <v>0.24</v>
      </c>
      <c r="E40" s="56">
        <v>4.9000000000000002E-2</v>
      </c>
      <c r="F40" s="56">
        <v>0</v>
      </c>
      <c r="G40" s="56">
        <v>4.3999999999999997E-2</v>
      </c>
      <c r="H40" s="56">
        <f t="shared" si="0"/>
        <v>0.14700000000000002</v>
      </c>
      <c r="I40" s="56">
        <v>2.9000000000000001E-2</v>
      </c>
      <c r="J40" s="56">
        <v>0.11700000000000001</v>
      </c>
    </row>
    <row r="41" spans="1:10" ht="25.5" outlineLevel="1" x14ac:dyDescent="0.2">
      <c r="A41" s="58" t="s">
        <v>905</v>
      </c>
      <c r="B41" s="58" t="s">
        <v>904</v>
      </c>
      <c r="C41" s="57" t="s">
        <v>903</v>
      </c>
      <c r="D41" s="56">
        <v>0.24</v>
      </c>
      <c r="E41" s="56">
        <v>4.9000000000000002E-2</v>
      </c>
      <c r="F41" s="56">
        <v>0</v>
      </c>
      <c r="G41" s="56">
        <v>4.3999999999999997E-2</v>
      </c>
      <c r="H41" s="56">
        <f t="shared" si="0"/>
        <v>0.14700000000000002</v>
      </c>
      <c r="I41" s="56">
        <v>2.9000000000000001E-2</v>
      </c>
      <c r="J41" s="56">
        <v>0.11700000000000001</v>
      </c>
    </row>
    <row r="42" spans="1:10" outlineLevel="1" x14ac:dyDescent="0.2">
      <c r="A42" s="58" t="s">
        <v>902</v>
      </c>
      <c r="B42" s="58" t="s">
        <v>901</v>
      </c>
      <c r="C42" s="57" t="s">
        <v>900</v>
      </c>
      <c r="D42" s="56">
        <v>0.24</v>
      </c>
      <c r="E42" s="56">
        <v>4.9000000000000002E-2</v>
      </c>
      <c r="F42" s="56">
        <v>0</v>
      </c>
      <c r="G42" s="56">
        <v>4.3999999999999997E-2</v>
      </c>
      <c r="H42" s="56">
        <f t="shared" si="0"/>
        <v>0.14700000000000002</v>
      </c>
      <c r="I42" s="56">
        <v>2.9000000000000001E-2</v>
      </c>
      <c r="J42" s="56">
        <v>0.11700000000000001</v>
      </c>
    </row>
    <row r="43" spans="1:10" outlineLevel="1" x14ac:dyDescent="0.2">
      <c r="A43" s="58" t="s">
        <v>899</v>
      </c>
      <c r="B43" s="58" t="s">
        <v>898</v>
      </c>
      <c r="C43" s="57" t="s">
        <v>897</v>
      </c>
      <c r="D43" s="56">
        <v>0.24</v>
      </c>
      <c r="E43" s="56">
        <v>4.9000000000000002E-2</v>
      </c>
      <c r="F43" s="56">
        <v>0</v>
      </c>
      <c r="G43" s="56">
        <v>4.3999999999999997E-2</v>
      </c>
      <c r="H43" s="56">
        <f t="shared" si="0"/>
        <v>0.14700000000000002</v>
      </c>
      <c r="I43" s="56">
        <v>2.9000000000000001E-2</v>
      </c>
      <c r="J43" s="56">
        <v>0.11700000000000001</v>
      </c>
    </row>
    <row r="44" spans="1:10" outlineLevel="1" x14ac:dyDescent="0.2">
      <c r="A44" s="58" t="s">
        <v>896</v>
      </c>
      <c r="B44" s="58" t="s">
        <v>895</v>
      </c>
      <c r="C44" s="57" t="s">
        <v>894</v>
      </c>
      <c r="D44" s="56">
        <v>0.24</v>
      </c>
      <c r="E44" s="56">
        <v>4.9000000000000002E-2</v>
      </c>
      <c r="F44" s="56">
        <v>0</v>
      </c>
      <c r="G44" s="56">
        <v>4.3999999999999997E-2</v>
      </c>
      <c r="H44" s="56">
        <f t="shared" si="0"/>
        <v>0.14700000000000002</v>
      </c>
      <c r="I44" s="56">
        <v>2.9000000000000001E-2</v>
      </c>
      <c r="J44" s="56">
        <v>0.11700000000000001</v>
      </c>
    </row>
    <row r="45" spans="1:10" outlineLevel="1" x14ac:dyDescent="0.2">
      <c r="A45" s="58" t="s">
        <v>893</v>
      </c>
      <c r="B45" s="58" t="s">
        <v>892</v>
      </c>
      <c r="C45" s="57" t="s">
        <v>891</v>
      </c>
      <c r="D45" s="56">
        <v>0.24</v>
      </c>
      <c r="E45" s="56">
        <v>4.9000000000000002E-2</v>
      </c>
      <c r="F45" s="56">
        <v>0</v>
      </c>
      <c r="G45" s="56">
        <v>4.3999999999999997E-2</v>
      </c>
      <c r="H45" s="56">
        <f t="shared" si="0"/>
        <v>0.14700000000000002</v>
      </c>
      <c r="I45" s="56">
        <v>2.9000000000000001E-2</v>
      </c>
      <c r="J45" s="56">
        <v>0.11700000000000001</v>
      </c>
    </row>
    <row r="46" spans="1:10" outlineLevel="1" x14ac:dyDescent="0.2">
      <c r="A46" s="60"/>
      <c r="B46" s="60" t="s">
        <v>890</v>
      </c>
      <c r="C46" s="59" t="s">
        <v>620</v>
      </c>
      <c r="D46" s="56">
        <v>0.24</v>
      </c>
      <c r="E46" s="56">
        <v>4.9000000000000002E-2</v>
      </c>
      <c r="F46" s="56">
        <v>0</v>
      </c>
      <c r="G46" s="56">
        <v>4.3999999999999997E-2</v>
      </c>
      <c r="H46" s="56">
        <f t="shared" si="0"/>
        <v>0.14700000000000002</v>
      </c>
      <c r="I46" s="56">
        <v>2.9000000000000001E-2</v>
      </c>
      <c r="J46" s="56">
        <v>0.11700000000000001</v>
      </c>
    </row>
    <row r="47" spans="1:10" outlineLevel="1" x14ac:dyDescent="0.2">
      <c r="A47" s="58" t="s">
        <v>889</v>
      </c>
      <c r="B47" s="58" t="s">
        <v>205</v>
      </c>
      <c r="C47" s="57" t="s">
        <v>620</v>
      </c>
      <c r="D47" s="56">
        <v>0.24</v>
      </c>
      <c r="E47" s="56">
        <v>4.9000000000000002E-2</v>
      </c>
      <c r="F47" s="56">
        <v>0</v>
      </c>
      <c r="G47" s="56">
        <v>4.3999999999999997E-2</v>
      </c>
      <c r="H47" s="56">
        <f t="shared" si="0"/>
        <v>0.14700000000000002</v>
      </c>
      <c r="I47" s="56">
        <v>2.9000000000000001E-2</v>
      </c>
      <c r="J47" s="56">
        <v>0.11700000000000001</v>
      </c>
    </row>
    <row r="48" spans="1:10" outlineLevel="1" x14ac:dyDescent="0.2">
      <c r="A48" s="60"/>
      <c r="B48" s="60" t="s">
        <v>888</v>
      </c>
      <c r="C48" s="59" t="s">
        <v>887</v>
      </c>
      <c r="D48" s="56">
        <v>0.24</v>
      </c>
      <c r="E48" s="56">
        <v>4.9000000000000002E-2</v>
      </c>
      <c r="F48" s="56">
        <v>0</v>
      </c>
      <c r="G48" s="56">
        <v>4.3999999999999997E-2</v>
      </c>
      <c r="H48" s="56">
        <f t="shared" si="0"/>
        <v>0.14700000000000002</v>
      </c>
      <c r="I48" s="56">
        <v>2.9000000000000001E-2</v>
      </c>
      <c r="J48" s="56">
        <v>0.11700000000000001</v>
      </c>
    </row>
    <row r="49" spans="1:10" outlineLevel="1" x14ac:dyDescent="0.2">
      <c r="A49" s="60" t="s">
        <v>886</v>
      </c>
      <c r="B49" s="60" t="s">
        <v>208</v>
      </c>
      <c r="C49" s="59" t="s">
        <v>885</v>
      </c>
      <c r="D49" s="56">
        <v>0.24</v>
      </c>
      <c r="E49" s="56">
        <v>4.9000000000000002E-2</v>
      </c>
      <c r="F49" s="56">
        <v>0</v>
      </c>
      <c r="G49" s="56">
        <v>4.3999999999999997E-2</v>
      </c>
      <c r="H49" s="56">
        <f t="shared" si="0"/>
        <v>0.14700000000000002</v>
      </c>
      <c r="I49" s="56">
        <v>2.9000000000000001E-2</v>
      </c>
      <c r="J49" s="56">
        <v>0.11700000000000001</v>
      </c>
    </row>
    <row r="50" spans="1:10" outlineLevel="1" x14ac:dyDescent="0.2">
      <c r="A50" s="58" t="s">
        <v>884</v>
      </c>
      <c r="B50" s="58" t="s">
        <v>883</v>
      </c>
      <c r="C50" s="57" t="s">
        <v>882</v>
      </c>
      <c r="D50" s="56">
        <v>0.24</v>
      </c>
      <c r="E50" s="56">
        <v>4.9000000000000002E-2</v>
      </c>
      <c r="F50" s="56">
        <v>0</v>
      </c>
      <c r="G50" s="56">
        <v>4.3999999999999997E-2</v>
      </c>
      <c r="H50" s="56">
        <f t="shared" si="0"/>
        <v>0.14700000000000002</v>
      </c>
      <c r="I50" s="56">
        <v>2.9000000000000001E-2</v>
      </c>
      <c r="J50" s="56">
        <v>0.11700000000000001</v>
      </c>
    </row>
    <row r="51" spans="1:10" outlineLevel="1" x14ac:dyDescent="0.2">
      <c r="A51" s="60"/>
      <c r="B51" s="60" t="s">
        <v>881</v>
      </c>
      <c r="C51" s="59" t="s">
        <v>603</v>
      </c>
      <c r="D51" s="56">
        <v>0.24</v>
      </c>
      <c r="E51" s="56">
        <v>4.9000000000000002E-2</v>
      </c>
      <c r="F51" s="56">
        <v>0</v>
      </c>
      <c r="G51" s="56">
        <v>4.3999999999999997E-2</v>
      </c>
      <c r="H51" s="56">
        <f t="shared" ref="H51:H82" si="1">D51-E51-F51-G51</f>
        <v>0.14700000000000002</v>
      </c>
      <c r="I51" s="56">
        <v>2.9000000000000001E-2</v>
      </c>
      <c r="J51" s="56">
        <v>0.11700000000000001</v>
      </c>
    </row>
    <row r="52" spans="1:10" outlineLevel="1" x14ac:dyDescent="0.2">
      <c r="A52" s="58" t="s">
        <v>880</v>
      </c>
      <c r="B52" s="58" t="s">
        <v>211</v>
      </c>
      <c r="C52" s="57" t="s">
        <v>879</v>
      </c>
      <c r="D52" s="56">
        <v>0.24</v>
      </c>
      <c r="E52" s="56">
        <v>4.9000000000000002E-2</v>
      </c>
      <c r="F52" s="56">
        <v>0</v>
      </c>
      <c r="G52" s="56">
        <v>4.3999999999999997E-2</v>
      </c>
      <c r="H52" s="56">
        <f t="shared" si="1"/>
        <v>0.14700000000000002</v>
      </c>
      <c r="I52" s="56">
        <v>2.9000000000000001E-2</v>
      </c>
      <c r="J52" s="56">
        <v>0.11700000000000001</v>
      </c>
    </row>
    <row r="53" spans="1:10" outlineLevel="1" x14ac:dyDescent="0.2">
      <c r="A53" s="60"/>
      <c r="B53" s="60" t="s">
        <v>878</v>
      </c>
      <c r="C53" s="59" t="s">
        <v>877</v>
      </c>
      <c r="D53" s="56">
        <v>0.33</v>
      </c>
      <c r="E53" s="56">
        <v>4.9000000000000002E-2</v>
      </c>
      <c r="F53" s="56">
        <v>0</v>
      </c>
      <c r="G53" s="56">
        <v>6.5000000000000002E-2</v>
      </c>
      <c r="H53" s="56">
        <f t="shared" si="1"/>
        <v>0.21600000000000003</v>
      </c>
      <c r="I53" s="56">
        <v>4.2999999999999997E-2</v>
      </c>
      <c r="J53" s="56">
        <v>0.17299999999999999</v>
      </c>
    </row>
    <row r="54" spans="1:10" outlineLevel="1" x14ac:dyDescent="0.2">
      <c r="A54" s="58"/>
      <c r="B54" s="58" t="s">
        <v>214</v>
      </c>
      <c r="C54" s="57" t="s">
        <v>876</v>
      </c>
      <c r="D54" s="56">
        <v>0.33</v>
      </c>
      <c r="E54" s="56">
        <v>4.9000000000000002E-2</v>
      </c>
      <c r="F54" s="56">
        <v>0</v>
      </c>
      <c r="G54" s="56">
        <v>6.5000000000000002E-2</v>
      </c>
      <c r="H54" s="56">
        <f t="shared" si="1"/>
        <v>0.21600000000000003</v>
      </c>
      <c r="I54" s="56">
        <v>4.2999999999999997E-2</v>
      </c>
      <c r="J54" s="56">
        <v>0.17299999999999999</v>
      </c>
    </row>
    <row r="55" spans="1:10" outlineLevel="1" x14ac:dyDescent="0.2">
      <c r="A55" s="58" t="s">
        <v>875</v>
      </c>
      <c r="B55" s="58" t="s">
        <v>874</v>
      </c>
      <c r="C55" s="57" t="s">
        <v>873</v>
      </c>
      <c r="D55" s="56">
        <v>0.33</v>
      </c>
      <c r="E55" s="56">
        <v>4.9000000000000002E-2</v>
      </c>
      <c r="F55" s="56">
        <v>0</v>
      </c>
      <c r="G55" s="56">
        <v>6.5000000000000002E-2</v>
      </c>
      <c r="H55" s="56">
        <f t="shared" si="1"/>
        <v>0.21600000000000003</v>
      </c>
      <c r="I55" s="56">
        <v>4.2999999999999997E-2</v>
      </c>
      <c r="J55" s="56">
        <v>0.17299999999999999</v>
      </c>
    </row>
    <row r="56" spans="1:10" ht="25.5" outlineLevel="1" x14ac:dyDescent="0.2">
      <c r="A56" s="58" t="s">
        <v>872</v>
      </c>
      <c r="B56" s="58" t="s">
        <v>871</v>
      </c>
      <c r="C56" s="57" t="s">
        <v>870</v>
      </c>
      <c r="D56" s="56">
        <v>0.33</v>
      </c>
      <c r="E56" s="56">
        <v>4.9000000000000002E-2</v>
      </c>
      <c r="F56" s="56">
        <v>0</v>
      </c>
      <c r="G56" s="56">
        <v>6.5000000000000002E-2</v>
      </c>
      <c r="H56" s="56">
        <f t="shared" si="1"/>
        <v>0.21600000000000003</v>
      </c>
      <c r="I56" s="56">
        <v>4.2999999999999997E-2</v>
      </c>
      <c r="J56" s="56">
        <v>0.17299999999999999</v>
      </c>
    </row>
    <row r="57" spans="1:10" ht="25.5" outlineLevel="1" x14ac:dyDescent="0.2">
      <c r="A57" s="58" t="s">
        <v>869</v>
      </c>
      <c r="B57" s="58" t="s">
        <v>868</v>
      </c>
      <c r="C57" s="57" t="s">
        <v>867</v>
      </c>
      <c r="D57" s="56">
        <v>0.33</v>
      </c>
      <c r="E57" s="56">
        <v>4.9000000000000002E-2</v>
      </c>
      <c r="F57" s="56">
        <v>0</v>
      </c>
      <c r="G57" s="56">
        <v>6.5000000000000002E-2</v>
      </c>
      <c r="H57" s="56">
        <f t="shared" si="1"/>
        <v>0.21600000000000003</v>
      </c>
      <c r="I57" s="56">
        <v>4.2999999999999997E-2</v>
      </c>
      <c r="J57" s="56">
        <v>0.17299999999999999</v>
      </c>
    </row>
    <row r="58" spans="1:10" ht="25.5" outlineLevel="1" x14ac:dyDescent="0.2">
      <c r="A58" s="58" t="s">
        <v>866</v>
      </c>
      <c r="B58" s="58" t="s">
        <v>865</v>
      </c>
      <c r="C58" s="57" t="s">
        <v>864</v>
      </c>
      <c r="D58" s="56">
        <v>0.33</v>
      </c>
      <c r="E58" s="56">
        <v>4.9000000000000002E-2</v>
      </c>
      <c r="F58" s="56">
        <v>0</v>
      </c>
      <c r="G58" s="56">
        <v>6.5000000000000002E-2</v>
      </c>
      <c r="H58" s="56">
        <f t="shared" si="1"/>
        <v>0.21600000000000003</v>
      </c>
      <c r="I58" s="56">
        <v>4.2999999999999997E-2</v>
      </c>
      <c r="J58" s="56">
        <v>0.17299999999999999</v>
      </c>
    </row>
    <row r="59" spans="1:10" ht="25.5" outlineLevel="1" x14ac:dyDescent="0.2">
      <c r="A59" s="58" t="s">
        <v>863</v>
      </c>
      <c r="B59" s="58" t="s">
        <v>862</v>
      </c>
      <c r="C59" s="57" t="s">
        <v>861</v>
      </c>
      <c r="D59" s="56">
        <v>0.33</v>
      </c>
      <c r="E59" s="56">
        <v>4.9000000000000002E-2</v>
      </c>
      <c r="F59" s="56">
        <v>0</v>
      </c>
      <c r="G59" s="56">
        <v>6.5000000000000002E-2</v>
      </c>
      <c r="H59" s="56">
        <f t="shared" si="1"/>
        <v>0.21600000000000003</v>
      </c>
      <c r="I59" s="56">
        <v>4.2999999999999997E-2</v>
      </c>
      <c r="J59" s="56">
        <v>0.17299999999999999</v>
      </c>
    </row>
    <row r="60" spans="1:10" outlineLevel="1" x14ac:dyDescent="0.2">
      <c r="A60" s="58"/>
      <c r="B60" s="58" t="s">
        <v>860</v>
      </c>
      <c r="C60" s="57" t="s">
        <v>859</v>
      </c>
      <c r="D60" s="56">
        <v>0.33</v>
      </c>
      <c r="E60" s="56">
        <v>4.9000000000000002E-2</v>
      </c>
      <c r="F60" s="56">
        <v>0</v>
      </c>
      <c r="G60" s="56">
        <v>6.5000000000000002E-2</v>
      </c>
      <c r="H60" s="56">
        <f t="shared" si="1"/>
        <v>0.21600000000000003</v>
      </c>
      <c r="I60" s="56">
        <v>4.2999999999999997E-2</v>
      </c>
      <c r="J60" s="56">
        <v>0.17299999999999999</v>
      </c>
    </row>
    <row r="61" spans="1:10" s="67" customFormat="1" outlineLevel="1" x14ac:dyDescent="0.2">
      <c r="A61" s="58"/>
      <c r="B61" s="58" t="s">
        <v>858</v>
      </c>
      <c r="C61" s="57" t="s">
        <v>857</v>
      </c>
      <c r="D61" s="56">
        <v>0.33</v>
      </c>
      <c r="E61" s="56">
        <v>4.9000000000000002E-2</v>
      </c>
      <c r="F61" s="56">
        <v>0</v>
      </c>
      <c r="G61" s="56">
        <v>6.5000000000000002E-2</v>
      </c>
      <c r="H61" s="56">
        <f t="shared" si="1"/>
        <v>0.21600000000000003</v>
      </c>
      <c r="I61" s="56">
        <v>4.2999999999999997E-2</v>
      </c>
      <c r="J61" s="56">
        <v>0.17299999999999999</v>
      </c>
    </row>
    <row r="62" spans="1:10" s="67" customFormat="1" ht="25.5" outlineLevel="1" x14ac:dyDescent="0.2">
      <c r="A62" s="58" t="s">
        <v>856</v>
      </c>
      <c r="B62" s="58" t="s">
        <v>855</v>
      </c>
      <c r="C62" s="57" t="s">
        <v>854</v>
      </c>
      <c r="D62" s="56">
        <v>0.33</v>
      </c>
      <c r="E62" s="56">
        <v>4.9000000000000002E-2</v>
      </c>
      <c r="F62" s="56">
        <v>0</v>
      </c>
      <c r="G62" s="56">
        <v>6.5000000000000002E-2</v>
      </c>
      <c r="H62" s="56">
        <f t="shared" si="1"/>
        <v>0.21600000000000003</v>
      </c>
      <c r="I62" s="56">
        <v>4.2999999999999997E-2</v>
      </c>
      <c r="J62" s="56">
        <v>0.17299999999999999</v>
      </c>
    </row>
    <row r="63" spans="1:10" ht="25.5" outlineLevel="1" x14ac:dyDescent="0.2">
      <c r="A63" s="58" t="s">
        <v>853</v>
      </c>
      <c r="B63" s="58" t="s">
        <v>852</v>
      </c>
      <c r="C63" s="57" t="s">
        <v>851</v>
      </c>
      <c r="D63" s="56">
        <v>0.33</v>
      </c>
      <c r="E63" s="56">
        <v>4.9000000000000002E-2</v>
      </c>
      <c r="F63" s="56">
        <v>0</v>
      </c>
      <c r="G63" s="56">
        <v>6.5000000000000002E-2</v>
      </c>
      <c r="H63" s="56">
        <f t="shared" si="1"/>
        <v>0.21600000000000003</v>
      </c>
      <c r="I63" s="56">
        <v>4.2999999999999997E-2</v>
      </c>
      <c r="J63" s="56">
        <v>0.17299999999999999</v>
      </c>
    </row>
    <row r="64" spans="1:10" ht="25.5" outlineLevel="1" x14ac:dyDescent="0.2">
      <c r="A64" s="58" t="s">
        <v>850</v>
      </c>
      <c r="B64" s="58" t="s">
        <v>849</v>
      </c>
      <c r="C64" s="57" t="s">
        <v>848</v>
      </c>
      <c r="D64" s="56">
        <v>0.33</v>
      </c>
      <c r="E64" s="56">
        <v>4.9000000000000002E-2</v>
      </c>
      <c r="F64" s="56">
        <v>0</v>
      </c>
      <c r="G64" s="56">
        <v>6.5000000000000002E-2</v>
      </c>
      <c r="H64" s="56">
        <f t="shared" si="1"/>
        <v>0.21600000000000003</v>
      </c>
      <c r="I64" s="56">
        <v>4.2999999999999997E-2</v>
      </c>
      <c r="J64" s="56">
        <v>0.17299999999999999</v>
      </c>
    </row>
    <row r="65" spans="1:10" ht="25.5" outlineLevel="1" x14ac:dyDescent="0.2">
      <c r="A65" s="58" t="s">
        <v>847</v>
      </c>
      <c r="B65" s="58" t="s">
        <v>846</v>
      </c>
      <c r="C65" s="57" t="s">
        <v>845</v>
      </c>
      <c r="D65" s="56">
        <v>0.33</v>
      </c>
      <c r="E65" s="56">
        <v>4.9000000000000002E-2</v>
      </c>
      <c r="F65" s="56">
        <v>0</v>
      </c>
      <c r="G65" s="56">
        <v>6.5000000000000002E-2</v>
      </c>
      <c r="H65" s="56">
        <f t="shared" si="1"/>
        <v>0.21600000000000003</v>
      </c>
      <c r="I65" s="56">
        <v>4.2999999999999997E-2</v>
      </c>
      <c r="J65" s="56">
        <v>0.17299999999999999</v>
      </c>
    </row>
    <row r="66" spans="1:10" ht="25.5" outlineLevel="1" x14ac:dyDescent="0.2">
      <c r="A66" s="58" t="s">
        <v>844</v>
      </c>
      <c r="B66" s="58" t="s">
        <v>843</v>
      </c>
      <c r="C66" s="57" t="s">
        <v>842</v>
      </c>
      <c r="D66" s="56">
        <v>0.33</v>
      </c>
      <c r="E66" s="56">
        <v>4.9000000000000002E-2</v>
      </c>
      <c r="F66" s="56">
        <v>0</v>
      </c>
      <c r="G66" s="56">
        <v>6.5000000000000002E-2</v>
      </c>
      <c r="H66" s="56">
        <f t="shared" si="1"/>
        <v>0.21600000000000003</v>
      </c>
      <c r="I66" s="56">
        <v>4.2999999999999997E-2</v>
      </c>
      <c r="J66" s="56">
        <v>0.17299999999999999</v>
      </c>
    </row>
    <row r="67" spans="1:10" ht="25.5" outlineLevel="1" x14ac:dyDescent="0.2">
      <c r="A67" s="58" t="s">
        <v>841</v>
      </c>
      <c r="B67" s="58" t="s">
        <v>840</v>
      </c>
      <c r="C67" s="57" t="s">
        <v>839</v>
      </c>
      <c r="D67" s="56">
        <v>0.33</v>
      </c>
      <c r="E67" s="56">
        <v>4.9000000000000002E-2</v>
      </c>
      <c r="F67" s="56">
        <v>0</v>
      </c>
      <c r="G67" s="56">
        <v>6.5000000000000002E-2</v>
      </c>
      <c r="H67" s="56">
        <f t="shared" si="1"/>
        <v>0.21600000000000003</v>
      </c>
      <c r="I67" s="56">
        <v>4.2999999999999997E-2</v>
      </c>
      <c r="J67" s="56">
        <v>0.17299999999999999</v>
      </c>
    </row>
    <row r="68" spans="1:10" ht="25.5" outlineLevel="1" x14ac:dyDescent="0.2">
      <c r="A68" s="58" t="s">
        <v>838</v>
      </c>
      <c r="B68" s="58" t="s">
        <v>837</v>
      </c>
      <c r="C68" s="57" t="s">
        <v>836</v>
      </c>
      <c r="D68" s="56">
        <v>0.33</v>
      </c>
      <c r="E68" s="56">
        <v>4.9000000000000002E-2</v>
      </c>
      <c r="F68" s="56">
        <v>0</v>
      </c>
      <c r="G68" s="56">
        <v>6.5000000000000002E-2</v>
      </c>
      <c r="H68" s="56">
        <f t="shared" si="1"/>
        <v>0.21600000000000003</v>
      </c>
      <c r="I68" s="56">
        <v>4.2999999999999997E-2</v>
      </c>
      <c r="J68" s="56">
        <v>0.17299999999999999</v>
      </c>
    </row>
    <row r="69" spans="1:10" ht="25.5" outlineLevel="1" x14ac:dyDescent="0.2">
      <c r="A69" s="58" t="s">
        <v>835</v>
      </c>
      <c r="B69" s="58" t="s">
        <v>834</v>
      </c>
      <c r="C69" s="57" t="s">
        <v>833</v>
      </c>
      <c r="D69" s="56">
        <v>0.33</v>
      </c>
      <c r="E69" s="56">
        <v>4.9000000000000002E-2</v>
      </c>
      <c r="F69" s="56">
        <v>0</v>
      </c>
      <c r="G69" s="56">
        <v>6.5000000000000002E-2</v>
      </c>
      <c r="H69" s="56">
        <f t="shared" si="1"/>
        <v>0.21600000000000003</v>
      </c>
      <c r="I69" s="56">
        <v>4.2999999999999997E-2</v>
      </c>
      <c r="J69" s="56">
        <v>0.17299999999999999</v>
      </c>
    </row>
    <row r="70" spans="1:10" ht="25.5" outlineLevel="1" x14ac:dyDescent="0.2">
      <c r="A70" s="58" t="s">
        <v>832</v>
      </c>
      <c r="B70" s="58" t="s">
        <v>831</v>
      </c>
      <c r="C70" s="57" t="s">
        <v>830</v>
      </c>
      <c r="D70" s="56">
        <v>0.33</v>
      </c>
      <c r="E70" s="56">
        <v>4.9000000000000002E-2</v>
      </c>
      <c r="F70" s="56">
        <v>0</v>
      </c>
      <c r="G70" s="56">
        <v>6.5000000000000002E-2</v>
      </c>
      <c r="H70" s="56">
        <f t="shared" si="1"/>
        <v>0.21600000000000003</v>
      </c>
      <c r="I70" s="56">
        <v>4.2999999999999997E-2</v>
      </c>
      <c r="J70" s="56">
        <v>0.17299999999999999</v>
      </c>
    </row>
    <row r="71" spans="1:10" ht="25.5" outlineLevel="1" x14ac:dyDescent="0.2">
      <c r="A71" s="58" t="s">
        <v>829</v>
      </c>
      <c r="B71" s="58" t="s">
        <v>828</v>
      </c>
      <c r="C71" s="57" t="s">
        <v>827</v>
      </c>
      <c r="D71" s="56">
        <v>0.33</v>
      </c>
      <c r="E71" s="56">
        <v>4.9000000000000002E-2</v>
      </c>
      <c r="F71" s="56">
        <v>0</v>
      </c>
      <c r="G71" s="56">
        <v>6.5000000000000002E-2</v>
      </c>
      <c r="H71" s="56">
        <f t="shared" si="1"/>
        <v>0.21600000000000003</v>
      </c>
      <c r="I71" s="56">
        <v>4.2999999999999997E-2</v>
      </c>
      <c r="J71" s="56">
        <v>0.17299999999999999</v>
      </c>
    </row>
    <row r="72" spans="1:10" outlineLevel="1" x14ac:dyDescent="0.2">
      <c r="A72" s="58" t="s">
        <v>826</v>
      </c>
      <c r="B72" s="58" t="s">
        <v>825</v>
      </c>
      <c r="C72" s="57" t="s">
        <v>824</v>
      </c>
      <c r="D72" s="56">
        <v>0.33</v>
      </c>
      <c r="E72" s="56">
        <v>4.9000000000000002E-2</v>
      </c>
      <c r="F72" s="56">
        <v>0</v>
      </c>
      <c r="G72" s="56">
        <v>6.5000000000000002E-2</v>
      </c>
      <c r="H72" s="56">
        <f t="shared" si="1"/>
        <v>0.21600000000000003</v>
      </c>
      <c r="I72" s="56">
        <v>4.2999999999999997E-2</v>
      </c>
      <c r="J72" s="56">
        <v>0.17299999999999999</v>
      </c>
    </row>
    <row r="73" spans="1:10" outlineLevel="1" x14ac:dyDescent="0.2">
      <c r="A73" s="58"/>
      <c r="B73" s="58" t="s">
        <v>823</v>
      </c>
      <c r="C73" s="57" t="s">
        <v>822</v>
      </c>
      <c r="D73" s="56">
        <v>0.33</v>
      </c>
      <c r="E73" s="56">
        <v>4.9000000000000002E-2</v>
      </c>
      <c r="F73" s="56">
        <v>0</v>
      </c>
      <c r="G73" s="56">
        <v>6.5000000000000002E-2</v>
      </c>
      <c r="H73" s="56">
        <f t="shared" si="1"/>
        <v>0.21600000000000003</v>
      </c>
      <c r="I73" s="56">
        <v>4.2999999999999997E-2</v>
      </c>
      <c r="J73" s="56">
        <v>0.17299999999999999</v>
      </c>
    </row>
    <row r="74" spans="1:10" outlineLevel="1" x14ac:dyDescent="0.2">
      <c r="A74" s="58" t="s">
        <v>821</v>
      </c>
      <c r="B74" s="58" t="s">
        <v>820</v>
      </c>
      <c r="C74" s="57" t="s">
        <v>819</v>
      </c>
      <c r="D74" s="56">
        <v>0.33</v>
      </c>
      <c r="E74" s="56">
        <v>4.9000000000000002E-2</v>
      </c>
      <c r="F74" s="56">
        <v>0</v>
      </c>
      <c r="G74" s="56">
        <v>6.5000000000000002E-2</v>
      </c>
      <c r="H74" s="56">
        <f t="shared" si="1"/>
        <v>0.21600000000000003</v>
      </c>
      <c r="I74" s="56">
        <v>4.2999999999999997E-2</v>
      </c>
      <c r="J74" s="56">
        <v>0.17299999999999999</v>
      </c>
    </row>
    <row r="75" spans="1:10" outlineLevel="1" x14ac:dyDescent="0.2">
      <c r="A75" s="58" t="s">
        <v>818</v>
      </c>
      <c r="B75" s="58" t="s">
        <v>817</v>
      </c>
      <c r="C75" s="57" t="s">
        <v>816</v>
      </c>
      <c r="D75" s="56">
        <v>0.33</v>
      </c>
      <c r="E75" s="56">
        <v>4.9000000000000002E-2</v>
      </c>
      <c r="F75" s="56">
        <v>0</v>
      </c>
      <c r="G75" s="56">
        <v>6.5000000000000002E-2</v>
      </c>
      <c r="H75" s="56">
        <f t="shared" si="1"/>
        <v>0.21600000000000003</v>
      </c>
      <c r="I75" s="56">
        <v>4.2999999999999997E-2</v>
      </c>
      <c r="J75" s="56">
        <v>0.17299999999999999</v>
      </c>
    </row>
    <row r="76" spans="1:10" outlineLevel="1" x14ac:dyDescent="0.2">
      <c r="A76" s="58" t="s">
        <v>815</v>
      </c>
      <c r="B76" s="58" t="s">
        <v>814</v>
      </c>
      <c r="C76" s="57" t="s">
        <v>813</v>
      </c>
      <c r="D76" s="56">
        <v>0.33</v>
      </c>
      <c r="E76" s="56">
        <v>4.9000000000000002E-2</v>
      </c>
      <c r="F76" s="56">
        <v>0</v>
      </c>
      <c r="G76" s="56">
        <v>6.5000000000000002E-2</v>
      </c>
      <c r="H76" s="56">
        <f t="shared" si="1"/>
        <v>0.21600000000000003</v>
      </c>
      <c r="I76" s="56">
        <v>4.2999999999999997E-2</v>
      </c>
      <c r="J76" s="56">
        <v>0.17299999999999999</v>
      </c>
    </row>
    <row r="77" spans="1:10" outlineLevel="1" x14ac:dyDescent="0.2">
      <c r="A77" s="58" t="s">
        <v>812</v>
      </c>
      <c r="B77" s="58" t="s">
        <v>811</v>
      </c>
      <c r="C77" s="57" t="s">
        <v>810</v>
      </c>
      <c r="D77" s="56">
        <v>0.33</v>
      </c>
      <c r="E77" s="56">
        <v>4.9000000000000002E-2</v>
      </c>
      <c r="F77" s="56">
        <v>0</v>
      </c>
      <c r="G77" s="56">
        <v>6.5000000000000002E-2</v>
      </c>
      <c r="H77" s="56">
        <f t="shared" si="1"/>
        <v>0.21600000000000003</v>
      </c>
      <c r="I77" s="56">
        <v>4.2999999999999997E-2</v>
      </c>
      <c r="J77" s="56">
        <v>0.17299999999999999</v>
      </c>
    </row>
    <row r="78" spans="1:10" outlineLevel="1" x14ac:dyDescent="0.2">
      <c r="A78" s="58" t="s">
        <v>809</v>
      </c>
      <c r="B78" s="58" t="s">
        <v>808</v>
      </c>
      <c r="C78" s="57" t="s">
        <v>807</v>
      </c>
      <c r="D78" s="56">
        <v>0.33</v>
      </c>
      <c r="E78" s="56">
        <v>4.9000000000000002E-2</v>
      </c>
      <c r="F78" s="56">
        <v>0</v>
      </c>
      <c r="G78" s="56">
        <v>6.5000000000000002E-2</v>
      </c>
      <c r="H78" s="56">
        <f t="shared" si="1"/>
        <v>0.21600000000000003</v>
      </c>
      <c r="I78" s="56">
        <v>4.2999999999999997E-2</v>
      </c>
      <c r="J78" s="56">
        <v>0.17299999999999999</v>
      </c>
    </row>
    <row r="79" spans="1:10" outlineLevel="1" x14ac:dyDescent="0.2">
      <c r="A79" s="58" t="s">
        <v>806</v>
      </c>
      <c r="B79" s="58" t="s">
        <v>805</v>
      </c>
      <c r="C79" s="57" t="s">
        <v>804</v>
      </c>
      <c r="D79" s="56">
        <v>0.33</v>
      </c>
      <c r="E79" s="56">
        <v>4.9000000000000002E-2</v>
      </c>
      <c r="F79" s="56">
        <v>0</v>
      </c>
      <c r="G79" s="56">
        <v>6.5000000000000002E-2</v>
      </c>
      <c r="H79" s="56">
        <f t="shared" si="1"/>
        <v>0.21600000000000003</v>
      </c>
      <c r="I79" s="56">
        <v>4.2999999999999997E-2</v>
      </c>
      <c r="J79" s="56">
        <v>0.17299999999999999</v>
      </c>
    </row>
    <row r="80" spans="1:10" outlineLevel="1" x14ac:dyDescent="0.2">
      <c r="A80" s="60"/>
      <c r="B80" s="60" t="s">
        <v>803</v>
      </c>
      <c r="C80" s="59" t="s">
        <v>592</v>
      </c>
      <c r="D80" s="56">
        <v>0.24</v>
      </c>
      <c r="E80" s="56">
        <v>4.9000000000000002E-2</v>
      </c>
      <c r="F80" s="56">
        <v>0</v>
      </c>
      <c r="G80" s="56">
        <v>4.3999999999999997E-2</v>
      </c>
      <c r="H80" s="56">
        <f t="shared" si="1"/>
        <v>0.14700000000000002</v>
      </c>
      <c r="I80" s="56">
        <v>2.9000000000000001E-2</v>
      </c>
      <c r="J80" s="56">
        <v>0.11700000000000001</v>
      </c>
    </row>
    <row r="81" spans="1:10" outlineLevel="1" x14ac:dyDescent="0.2">
      <c r="A81" s="58"/>
      <c r="B81" s="58" t="s">
        <v>217</v>
      </c>
      <c r="C81" s="57" t="s">
        <v>590</v>
      </c>
      <c r="D81" s="56">
        <v>0.24</v>
      </c>
      <c r="E81" s="56">
        <v>4.9000000000000002E-2</v>
      </c>
      <c r="F81" s="56">
        <v>0</v>
      </c>
      <c r="G81" s="56">
        <v>4.3999999999999997E-2</v>
      </c>
      <c r="H81" s="56">
        <f t="shared" si="1"/>
        <v>0.14700000000000002</v>
      </c>
      <c r="I81" s="56">
        <v>2.9000000000000001E-2</v>
      </c>
      <c r="J81" s="56">
        <v>0.11700000000000001</v>
      </c>
    </row>
    <row r="82" spans="1:10" outlineLevel="1" x14ac:dyDescent="0.2">
      <c r="A82" s="58" t="s">
        <v>802</v>
      </c>
      <c r="B82" s="58" t="s">
        <v>801</v>
      </c>
      <c r="C82" s="57" t="s">
        <v>800</v>
      </c>
      <c r="D82" s="56">
        <v>0.24</v>
      </c>
      <c r="E82" s="56">
        <v>4.9000000000000002E-2</v>
      </c>
      <c r="F82" s="56">
        <v>0</v>
      </c>
      <c r="G82" s="56">
        <v>4.3999999999999997E-2</v>
      </c>
      <c r="H82" s="56">
        <f t="shared" si="1"/>
        <v>0.14700000000000002</v>
      </c>
      <c r="I82" s="56">
        <v>2.9000000000000001E-2</v>
      </c>
      <c r="J82" s="56">
        <v>0.11700000000000001</v>
      </c>
    </row>
    <row r="83" spans="1:10" outlineLevel="1" x14ac:dyDescent="0.2">
      <c r="A83" s="58" t="s">
        <v>799</v>
      </c>
      <c r="B83" s="58" t="s">
        <v>798</v>
      </c>
      <c r="C83" s="57" t="s">
        <v>797</v>
      </c>
      <c r="D83" s="56">
        <v>0.24</v>
      </c>
      <c r="E83" s="56">
        <v>4.9000000000000002E-2</v>
      </c>
      <c r="F83" s="56">
        <v>0</v>
      </c>
      <c r="G83" s="56">
        <v>4.3999999999999997E-2</v>
      </c>
      <c r="H83" s="56">
        <f t="shared" ref="H83:H114" si="2">D83-E83-F83-G83</f>
        <v>0.14700000000000002</v>
      </c>
      <c r="I83" s="56">
        <v>2.9000000000000001E-2</v>
      </c>
      <c r="J83" s="56">
        <v>0.11700000000000001</v>
      </c>
    </row>
    <row r="84" spans="1:10" ht="25.5" outlineLevel="1" x14ac:dyDescent="0.2">
      <c r="A84" s="58" t="s">
        <v>796</v>
      </c>
      <c r="B84" s="58" t="s">
        <v>795</v>
      </c>
      <c r="C84" s="57" t="s">
        <v>794</v>
      </c>
      <c r="D84" s="56">
        <v>0.24</v>
      </c>
      <c r="E84" s="56">
        <v>4.9000000000000002E-2</v>
      </c>
      <c r="F84" s="56">
        <v>0</v>
      </c>
      <c r="G84" s="56">
        <v>4.3999999999999997E-2</v>
      </c>
      <c r="H84" s="56">
        <f t="shared" si="2"/>
        <v>0.14700000000000002</v>
      </c>
      <c r="I84" s="56">
        <v>2.9000000000000001E-2</v>
      </c>
      <c r="J84" s="56">
        <v>0.11700000000000001</v>
      </c>
    </row>
    <row r="85" spans="1:10" ht="25.5" outlineLevel="1" x14ac:dyDescent="0.2">
      <c r="A85" s="58" t="s">
        <v>793</v>
      </c>
      <c r="B85" s="58" t="s">
        <v>792</v>
      </c>
      <c r="C85" s="57" t="s">
        <v>791</v>
      </c>
      <c r="D85" s="56">
        <v>0.24</v>
      </c>
      <c r="E85" s="56">
        <v>4.9000000000000002E-2</v>
      </c>
      <c r="F85" s="56">
        <v>0</v>
      </c>
      <c r="G85" s="56">
        <v>4.3999999999999997E-2</v>
      </c>
      <c r="H85" s="56">
        <f t="shared" si="2"/>
        <v>0.14700000000000002</v>
      </c>
      <c r="I85" s="56">
        <v>2.9000000000000001E-2</v>
      </c>
      <c r="J85" s="56">
        <v>0.11700000000000001</v>
      </c>
    </row>
    <row r="86" spans="1:10" ht="25.5" outlineLevel="1" x14ac:dyDescent="0.2">
      <c r="A86" s="58" t="s">
        <v>790</v>
      </c>
      <c r="B86" s="58" t="s">
        <v>789</v>
      </c>
      <c r="C86" s="57" t="s">
        <v>788</v>
      </c>
      <c r="D86" s="56">
        <v>0.24</v>
      </c>
      <c r="E86" s="56">
        <v>4.9000000000000002E-2</v>
      </c>
      <c r="F86" s="56">
        <v>0</v>
      </c>
      <c r="G86" s="56">
        <v>4.3999999999999997E-2</v>
      </c>
      <c r="H86" s="56">
        <f t="shared" si="2"/>
        <v>0.14700000000000002</v>
      </c>
      <c r="I86" s="56">
        <v>2.9000000000000001E-2</v>
      </c>
      <c r="J86" s="56">
        <v>0.11700000000000001</v>
      </c>
    </row>
    <row r="87" spans="1:10" outlineLevel="1" x14ac:dyDescent="0.2">
      <c r="A87" s="58" t="s">
        <v>787</v>
      </c>
      <c r="B87" s="58" t="s">
        <v>786</v>
      </c>
      <c r="C87" s="57" t="s">
        <v>785</v>
      </c>
      <c r="D87" s="56">
        <v>0.24</v>
      </c>
      <c r="E87" s="56">
        <v>4.9000000000000002E-2</v>
      </c>
      <c r="F87" s="56">
        <v>0</v>
      </c>
      <c r="G87" s="56">
        <v>4.3999999999999997E-2</v>
      </c>
      <c r="H87" s="56">
        <f t="shared" si="2"/>
        <v>0.14700000000000002</v>
      </c>
      <c r="I87" s="56">
        <v>2.9000000000000001E-2</v>
      </c>
      <c r="J87" s="56">
        <v>0.11700000000000001</v>
      </c>
    </row>
    <row r="88" spans="1:10" x14ac:dyDescent="0.2">
      <c r="A88" s="58" t="s">
        <v>784</v>
      </c>
      <c r="B88" s="58" t="s">
        <v>783</v>
      </c>
      <c r="C88" s="57" t="s">
        <v>572</v>
      </c>
      <c r="D88" s="56">
        <v>0.24</v>
      </c>
      <c r="E88" s="56">
        <v>4.9000000000000002E-2</v>
      </c>
      <c r="F88" s="56">
        <v>0</v>
      </c>
      <c r="G88" s="56">
        <v>4.3999999999999997E-2</v>
      </c>
      <c r="H88" s="56">
        <f t="shared" si="2"/>
        <v>0.14700000000000002</v>
      </c>
      <c r="I88" s="56">
        <v>2.9000000000000001E-2</v>
      </c>
      <c r="J88" s="56">
        <v>0.11700000000000001</v>
      </c>
    </row>
    <row r="89" spans="1:10" x14ac:dyDescent="0.2">
      <c r="A89" s="60" t="s">
        <v>782</v>
      </c>
      <c r="B89" s="60" t="s">
        <v>781</v>
      </c>
      <c r="C89" s="59" t="s">
        <v>780</v>
      </c>
      <c r="D89" s="56">
        <v>0.24</v>
      </c>
      <c r="E89" s="56">
        <v>4.9000000000000002E-2</v>
      </c>
      <c r="F89" s="56">
        <v>0</v>
      </c>
      <c r="G89" s="56">
        <v>4.3999999999999997E-2</v>
      </c>
      <c r="H89" s="56">
        <f t="shared" si="2"/>
        <v>0.14700000000000002</v>
      </c>
      <c r="I89" s="56">
        <v>2.9000000000000001E-2</v>
      </c>
      <c r="J89" s="56">
        <v>0.11700000000000001</v>
      </c>
    </row>
    <row r="90" spans="1:10" x14ac:dyDescent="0.2">
      <c r="A90" s="58"/>
      <c r="B90" s="58" t="s">
        <v>779</v>
      </c>
      <c r="C90" s="57" t="s">
        <v>567</v>
      </c>
      <c r="D90" s="56">
        <v>0.24</v>
      </c>
      <c r="E90" s="56">
        <v>4.9000000000000002E-2</v>
      </c>
      <c r="F90" s="56">
        <v>0</v>
      </c>
      <c r="G90" s="56">
        <v>4.3999999999999997E-2</v>
      </c>
      <c r="H90" s="56">
        <f t="shared" si="2"/>
        <v>0.14700000000000002</v>
      </c>
      <c r="I90" s="56">
        <v>2.9000000000000001E-2</v>
      </c>
      <c r="J90" s="56">
        <v>0.11700000000000001</v>
      </c>
    </row>
    <row r="91" spans="1:10" x14ac:dyDescent="0.2">
      <c r="A91" s="58" t="s">
        <v>778</v>
      </c>
      <c r="B91" s="58" t="s">
        <v>777</v>
      </c>
      <c r="C91" s="57" t="s">
        <v>776</v>
      </c>
      <c r="D91" s="56">
        <v>0.24</v>
      </c>
      <c r="E91" s="56">
        <v>4.9000000000000002E-2</v>
      </c>
      <c r="F91" s="56">
        <v>0</v>
      </c>
      <c r="G91" s="56">
        <v>4.3999999999999997E-2</v>
      </c>
      <c r="H91" s="56">
        <f t="shared" si="2"/>
        <v>0.14700000000000002</v>
      </c>
      <c r="I91" s="56">
        <v>2.9000000000000001E-2</v>
      </c>
      <c r="J91" s="56">
        <v>0.11700000000000001</v>
      </c>
    </row>
    <row r="92" spans="1:10" x14ac:dyDescent="0.2">
      <c r="A92" s="58" t="s">
        <v>775</v>
      </c>
      <c r="B92" s="58" t="s">
        <v>774</v>
      </c>
      <c r="C92" s="57" t="s">
        <v>773</v>
      </c>
      <c r="D92" s="56">
        <v>0.24</v>
      </c>
      <c r="E92" s="56">
        <v>4.9000000000000002E-2</v>
      </c>
      <c r="F92" s="56">
        <v>0</v>
      </c>
      <c r="G92" s="56">
        <v>4.3999999999999997E-2</v>
      </c>
      <c r="H92" s="56">
        <f t="shared" si="2"/>
        <v>0.14700000000000002</v>
      </c>
      <c r="I92" s="56">
        <v>2.9000000000000001E-2</v>
      </c>
      <c r="J92" s="56">
        <v>0.11700000000000001</v>
      </c>
    </row>
    <row r="93" spans="1:10" x14ac:dyDescent="0.2">
      <c r="A93" s="58" t="s">
        <v>772</v>
      </c>
      <c r="B93" s="58" t="s">
        <v>771</v>
      </c>
      <c r="C93" s="57" t="s">
        <v>770</v>
      </c>
      <c r="D93" s="56">
        <v>0.24</v>
      </c>
      <c r="E93" s="56">
        <v>4.9000000000000002E-2</v>
      </c>
      <c r="F93" s="56">
        <v>0</v>
      </c>
      <c r="G93" s="56">
        <v>4.3999999999999997E-2</v>
      </c>
      <c r="H93" s="56">
        <f t="shared" si="2"/>
        <v>0.14700000000000002</v>
      </c>
      <c r="I93" s="56">
        <v>2.9000000000000001E-2</v>
      </c>
      <c r="J93" s="56">
        <v>0.11700000000000001</v>
      </c>
    </row>
    <row r="94" spans="1:10" x14ac:dyDescent="0.2">
      <c r="A94" s="58" t="s">
        <v>769</v>
      </c>
      <c r="B94" s="58" t="s">
        <v>768</v>
      </c>
      <c r="C94" s="57" t="s">
        <v>767</v>
      </c>
      <c r="D94" s="56">
        <v>0.24</v>
      </c>
      <c r="E94" s="56">
        <v>4.9000000000000002E-2</v>
      </c>
      <c r="F94" s="56">
        <v>0</v>
      </c>
      <c r="G94" s="56">
        <v>4.3999999999999997E-2</v>
      </c>
      <c r="H94" s="56">
        <f t="shared" si="2"/>
        <v>0.14700000000000002</v>
      </c>
      <c r="I94" s="56">
        <v>2.9000000000000001E-2</v>
      </c>
      <c r="J94" s="56">
        <v>0.11700000000000001</v>
      </c>
    </row>
    <row r="95" spans="1:10" x14ac:dyDescent="0.2">
      <c r="A95" s="58" t="s">
        <v>766</v>
      </c>
      <c r="B95" s="58" t="s">
        <v>765</v>
      </c>
      <c r="C95" s="57" t="s">
        <v>764</v>
      </c>
      <c r="D95" s="56">
        <v>0.24</v>
      </c>
      <c r="E95" s="56">
        <v>4.9000000000000002E-2</v>
      </c>
      <c r="F95" s="56">
        <v>0</v>
      </c>
      <c r="G95" s="56">
        <v>4.3999999999999997E-2</v>
      </c>
      <c r="H95" s="56">
        <f t="shared" si="2"/>
        <v>0.14700000000000002</v>
      </c>
      <c r="I95" s="56">
        <v>2.9000000000000001E-2</v>
      </c>
      <c r="J95" s="56">
        <v>0.11700000000000001</v>
      </c>
    </row>
    <row r="96" spans="1:10" x14ac:dyDescent="0.2">
      <c r="A96" s="58" t="s">
        <v>763</v>
      </c>
      <c r="B96" s="58" t="s">
        <v>762</v>
      </c>
      <c r="C96" s="57" t="s">
        <v>761</v>
      </c>
      <c r="D96" s="56">
        <v>0.24</v>
      </c>
      <c r="E96" s="56">
        <v>4.9000000000000002E-2</v>
      </c>
      <c r="F96" s="56">
        <v>0</v>
      </c>
      <c r="G96" s="56">
        <v>4.3999999999999997E-2</v>
      </c>
      <c r="H96" s="56">
        <f t="shared" si="2"/>
        <v>0.14700000000000002</v>
      </c>
      <c r="I96" s="56">
        <v>2.9000000000000001E-2</v>
      </c>
      <c r="J96" s="56">
        <v>0.11700000000000001</v>
      </c>
    </row>
    <row r="97" spans="1:10" x14ac:dyDescent="0.2">
      <c r="A97" s="58" t="s">
        <v>760</v>
      </c>
      <c r="B97" s="58" t="s">
        <v>759</v>
      </c>
      <c r="C97" s="57" t="s">
        <v>758</v>
      </c>
      <c r="D97" s="56">
        <v>0.24</v>
      </c>
      <c r="E97" s="56">
        <v>4.9000000000000002E-2</v>
      </c>
      <c r="F97" s="56">
        <v>0</v>
      </c>
      <c r="G97" s="56">
        <v>4.3999999999999997E-2</v>
      </c>
      <c r="H97" s="56">
        <f t="shared" si="2"/>
        <v>0.14700000000000002</v>
      </c>
      <c r="I97" s="56">
        <v>2.9000000000000001E-2</v>
      </c>
      <c r="J97" s="56">
        <v>0.11700000000000001</v>
      </c>
    </row>
    <row r="98" spans="1:10" x14ac:dyDescent="0.2">
      <c r="A98" s="58" t="s">
        <v>757</v>
      </c>
      <c r="B98" s="58" t="s">
        <v>756</v>
      </c>
      <c r="C98" s="57" t="s">
        <v>755</v>
      </c>
      <c r="D98" s="56">
        <v>0.24</v>
      </c>
      <c r="E98" s="56">
        <v>4.9000000000000002E-2</v>
      </c>
      <c r="F98" s="56">
        <v>0</v>
      </c>
      <c r="G98" s="56">
        <v>4.3999999999999997E-2</v>
      </c>
      <c r="H98" s="56">
        <f t="shared" si="2"/>
        <v>0.14700000000000002</v>
      </c>
      <c r="I98" s="56">
        <v>2.9000000000000001E-2</v>
      </c>
      <c r="J98" s="56">
        <v>0.11700000000000001</v>
      </c>
    </row>
    <row r="99" spans="1:10" x14ac:dyDescent="0.2">
      <c r="A99" s="58" t="s">
        <v>754</v>
      </c>
      <c r="B99" s="58" t="s">
        <v>753</v>
      </c>
      <c r="C99" s="57" t="s">
        <v>752</v>
      </c>
      <c r="D99" s="56">
        <v>0.24</v>
      </c>
      <c r="E99" s="56">
        <v>4.9000000000000002E-2</v>
      </c>
      <c r="F99" s="56">
        <v>0</v>
      </c>
      <c r="G99" s="56">
        <v>4.3999999999999997E-2</v>
      </c>
      <c r="H99" s="56">
        <f t="shared" si="2"/>
        <v>0.14700000000000002</v>
      </c>
      <c r="I99" s="56">
        <v>2.9000000000000001E-2</v>
      </c>
      <c r="J99" s="56">
        <v>0.11700000000000001</v>
      </c>
    </row>
    <row r="100" spans="1:10" x14ac:dyDescent="0.2">
      <c r="A100" s="58" t="s">
        <v>751</v>
      </c>
      <c r="B100" s="58" t="s">
        <v>750</v>
      </c>
      <c r="C100" s="57" t="s">
        <v>749</v>
      </c>
      <c r="D100" s="56">
        <v>0.24</v>
      </c>
      <c r="E100" s="56">
        <v>4.9000000000000002E-2</v>
      </c>
      <c r="F100" s="56">
        <v>0</v>
      </c>
      <c r="G100" s="56">
        <v>4.3999999999999997E-2</v>
      </c>
      <c r="H100" s="56">
        <f t="shared" si="2"/>
        <v>0.14700000000000002</v>
      </c>
      <c r="I100" s="56">
        <v>2.9000000000000001E-2</v>
      </c>
      <c r="J100" s="56">
        <v>0.11700000000000001</v>
      </c>
    </row>
    <row r="101" spans="1:10" x14ac:dyDescent="0.2">
      <c r="A101" s="58"/>
      <c r="B101" s="58" t="s">
        <v>748</v>
      </c>
      <c r="C101" s="57" t="s">
        <v>529</v>
      </c>
      <c r="D101" s="56">
        <v>0.24</v>
      </c>
      <c r="E101" s="56">
        <v>4.9000000000000002E-2</v>
      </c>
      <c r="F101" s="56">
        <v>0</v>
      </c>
      <c r="G101" s="56">
        <v>4.3999999999999997E-2</v>
      </c>
      <c r="H101" s="56">
        <f t="shared" si="2"/>
        <v>0.14700000000000002</v>
      </c>
      <c r="I101" s="56">
        <v>2.9000000000000001E-2</v>
      </c>
      <c r="J101" s="56">
        <v>0.11700000000000001</v>
      </c>
    </row>
    <row r="102" spans="1:10" ht="38.25" x14ac:dyDescent="0.2">
      <c r="A102" s="58" t="s">
        <v>747</v>
      </c>
      <c r="B102" s="58" t="s">
        <v>746</v>
      </c>
      <c r="C102" s="57" t="s">
        <v>745</v>
      </c>
      <c r="D102" s="56">
        <v>0.24</v>
      </c>
      <c r="E102" s="56">
        <v>4.9000000000000002E-2</v>
      </c>
      <c r="F102" s="56">
        <v>0</v>
      </c>
      <c r="G102" s="56">
        <v>4.3999999999999997E-2</v>
      </c>
      <c r="H102" s="56">
        <f t="shared" si="2"/>
        <v>0.14700000000000002</v>
      </c>
      <c r="I102" s="56">
        <v>2.9000000000000001E-2</v>
      </c>
      <c r="J102" s="56">
        <v>0.11700000000000001</v>
      </c>
    </row>
    <row r="103" spans="1:10" ht="63.75" x14ac:dyDescent="0.2">
      <c r="A103" s="58" t="s">
        <v>744</v>
      </c>
      <c r="B103" s="58" t="s">
        <v>743</v>
      </c>
      <c r="C103" s="57" t="s">
        <v>742</v>
      </c>
      <c r="D103" s="56">
        <v>0.24</v>
      </c>
      <c r="E103" s="56">
        <v>4.9000000000000002E-2</v>
      </c>
      <c r="F103" s="56">
        <v>0</v>
      </c>
      <c r="G103" s="56">
        <v>4.3999999999999997E-2</v>
      </c>
      <c r="H103" s="56">
        <f t="shared" si="2"/>
        <v>0.14700000000000002</v>
      </c>
      <c r="I103" s="56">
        <v>2.9000000000000001E-2</v>
      </c>
      <c r="J103" s="56">
        <v>0.11700000000000001</v>
      </c>
    </row>
    <row r="104" spans="1:10" ht="25.5" x14ac:dyDescent="0.2">
      <c r="A104" s="58" t="s">
        <v>741</v>
      </c>
      <c r="B104" s="58" t="s">
        <v>740</v>
      </c>
      <c r="C104" s="57" t="s">
        <v>739</v>
      </c>
      <c r="D104" s="56">
        <v>0.24</v>
      </c>
      <c r="E104" s="56">
        <v>4.9000000000000002E-2</v>
      </c>
      <c r="F104" s="56">
        <v>0</v>
      </c>
      <c r="G104" s="56">
        <v>4.3999999999999997E-2</v>
      </c>
      <c r="H104" s="56">
        <f t="shared" si="2"/>
        <v>0.14700000000000002</v>
      </c>
      <c r="I104" s="56">
        <v>2.9000000000000001E-2</v>
      </c>
      <c r="J104" s="56">
        <v>0.11700000000000001</v>
      </c>
    </row>
    <row r="105" spans="1:10" x14ac:dyDescent="0.2">
      <c r="A105" s="58" t="s">
        <v>738</v>
      </c>
      <c r="B105" s="58" t="s">
        <v>737</v>
      </c>
      <c r="C105" s="57" t="s">
        <v>516</v>
      </c>
      <c r="D105" s="56">
        <v>0.24</v>
      </c>
      <c r="E105" s="56">
        <v>4.9000000000000002E-2</v>
      </c>
      <c r="F105" s="56">
        <v>0</v>
      </c>
      <c r="G105" s="56">
        <v>4.3999999999999997E-2</v>
      </c>
      <c r="H105" s="56">
        <f t="shared" si="2"/>
        <v>0.14700000000000002</v>
      </c>
      <c r="I105" s="56">
        <v>2.9000000000000001E-2</v>
      </c>
      <c r="J105" s="56">
        <v>0.11700000000000001</v>
      </c>
    </row>
    <row r="106" spans="1:10" x14ac:dyDescent="0.2">
      <c r="A106" s="58" t="s">
        <v>736</v>
      </c>
      <c r="B106" s="58" t="s">
        <v>735</v>
      </c>
      <c r="C106" s="57" t="s">
        <v>513</v>
      </c>
      <c r="D106" s="56">
        <v>0.24</v>
      </c>
      <c r="E106" s="56">
        <v>4.9000000000000002E-2</v>
      </c>
      <c r="F106" s="56">
        <v>0</v>
      </c>
      <c r="G106" s="56">
        <v>4.3999999999999997E-2</v>
      </c>
      <c r="H106" s="56">
        <f t="shared" si="2"/>
        <v>0.14700000000000002</v>
      </c>
      <c r="I106" s="56">
        <v>2.9000000000000001E-2</v>
      </c>
      <c r="J106" s="56">
        <v>0.11700000000000001</v>
      </c>
    </row>
    <row r="107" spans="1:10" x14ac:dyDescent="0.2">
      <c r="A107" s="58" t="s">
        <v>734</v>
      </c>
      <c r="B107" s="58" t="s">
        <v>733</v>
      </c>
      <c r="C107" s="57" t="s">
        <v>537</v>
      </c>
      <c r="D107" s="56">
        <v>0.24</v>
      </c>
      <c r="E107" s="56">
        <v>4.9000000000000002E-2</v>
      </c>
      <c r="F107" s="56">
        <v>0</v>
      </c>
      <c r="G107" s="56">
        <v>4.3999999999999997E-2</v>
      </c>
      <c r="H107" s="56">
        <f t="shared" si="2"/>
        <v>0.14700000000000002</v>
      </c>
      <c r="I107" s="56">
        <v>2.9000000000000001E-2</v>
      </c>
      <c r="J107" s="56">
        <v>0.11700000000000001</v>
      </c>
    </row>
    <row r="108" spans="1:10" x14ac:dyDescent="0.2">
      <c r="A108" s="58" t="s">
        <v>732</v>
      </c>
      <c r="B108" s="58" t="s">
        <v>731</v>
      </c>
      <c r="C108" s="57" t="s">
        <v>531</v>
      </c>
      <c r="D108" s="56">
        <v>0.24</v>
      </c>
      <c r="E108" s="56">
        <v>4.9000000000000002E-2</v>
      </c>
      <c r="F108" s="56">
        <v>0</v>
      </c>
      <c r="G108" s="56">
        <v>4.3999999999999997E-2</v>
      </c>
      <c r="H108" s="56">
        <f t="shared" si="2"/>
        <v>0.14700000000000002</v>
      </c>
      <c r="I108" s="56">
        <v>2.9000000000000001E-2</v>
      </c>
      <c r="J108" s="56">
        <v>0.11700000000000001</v>
      </c>
    </row>
    <row r="109" spans="1:10" x14ac:dyDescent="0.2">
      <c r="A109" s="58" t="s">
        <v>730</v>
      </c>
      <c r="B109" s="58" t="s">
        <v>729</v>
      </c>
      <c r="C109" s="57" t="s">
        <v>728</v>
      </c>
      <c r="D109" s="56">
        <v>0.24</v>
      </c>
      <c r="E109" s="56">
        <v>4.9000000000000002E-2</v>
      </c>
      <c r="F109" s="56">
        <v>0</v>
      </c>
      <c r="G109" s="56">
        <v>4.3999999999999997E-2</v>
      </c>
      <c r="H109" s="56">
        <f t="shared" si="2"/>
        <v>0.14700000000000002</v>
      </c>
      <c r="I109" s="56">
        <v>2.9000000000000001E-2</v>
      </c>
      <c r="J109" s="56">
        <v>0.11700000000000001</v>
      </c>
    </row>
    <row r="110" spans="1:10" x14ac:dyDescent="0.2">
      <c r="A110" s="58" t="s">
        <v>727</v>
      </c>
      <c r="B110" s="58" t="s">
        <v>726</v>
      </c>
      <c r="C110" s="57" t="s">
        <v>725</v>
      </c>
      <c r="D110" s="56">
        <v>0.24</v>
      </c>
      <c r="E110" s="56">
        <v>4.9000000000000002E-2</v>
      </c>
      <c r="F110" s="56">
        <v>0</v>
      </c>
      <c r="G110" s="56">
        <v>4.3999999999999997E-2</v>
      </c>
      <c r="H110" s="56">
        <f t="shared" si="2"/>
        <v>0.14700000000000002</v>
      </c>
      <c r="I110" s="56">
        <v>2.9000000000000001E-2</v>
      </c>
      <c r="J110" s="56">
        <v>0.11700000000000001</v>
      </c>
    </row>
    <row r="111" spans="1:10" x14ac:dyDescent="0.2">
      <c r="A111" s="60"/>
      <c r="B111" s="60" t="s">
        <v>724</v>
      </c>
      <c r="C111" s="59" t="s">
        <v>511</v>
      </c>
      <c r="D111" s="56">
        <v>0.24</v>
      </c>
      <c r="E111" s="56">
        <v>4.9000000000000002E-2</v>
      </c>
      <c r="F111" s="56">
        <v>0</v>
      </c>
      <c r="G111" s="56">
        <v>4.3999999999999997E-2</v>
      </c>
      <c r="H111" s="56">
        <f t="shared" si="2"/>
        <v>0.14700000000000002</v>
      </c>
      <c r="I111" s="56">
        <v>2.9000000000000001E-2</v>
      </c>
      <c r="J111" s="56">
        <v>0.11700000000000001</v>
      </c>
    </row>
    <row r="112" spans="1:10" x14ac:dyDescent="0.2">
      <c r="A112" s="58"/>
      <c r="B112" s="58" t="s">
        <v>220</v>
      </c>
      <c r="C112" s="57" t="s">
        <v>509</v>
      </c>
      <c r="D112" s="56">
        <v>0.24</v>
      </c>
      <c r="E112" s="56">
        <v>4.9000000000000002E-2</v>
      </c>
      <c r="F112" s="56">
        <v>0</v>
      </c>
      <c r="G112" s="56">
        <v>4.3999999999999997E-2</v>
      </c>
      <c r="H112" s="56">
        <f t="shared" si="2"/>
        <v>0.14700000000000002</v>
      </c>
      <c r="I112" s="56">
        <v>2.9000000000000001E-2</v>
      </c>
      <c r="J112" s="56">
        <v>0.11700000000000001</v>
      </c>
    </row>
    <row r="113" spans="1:10" ht="25.5" x14ac:dyDescent="0.2">
      <c r="A113" s="58" t="s">
        <v>723</v>
      </c>
      <c r="B113" s="58" t="s">
        <v>722</v>
      </c>
      <c r="C113" s="57" t="s">
        <v>721</v>
      </c>
      <c r="D113" s="56">
        <v>0.24</v>
      </c>
      <c r="E113" s="56">
        <v>4.9000000000000002E-2</v>
      </c>
      <c r="F113" s="56">
        <v>0</v>
      </c>
      <c r="G113" s="56">
        <v>4.3999999999999997E-2</v>
      </c>
      <c r="H113" s="56">
        <f t="shared" si="2"/>
        <v>0.14700000000000002</v>
      </c>
      <c r="I113" s="56">
        <v>2.9000000000000001E-2</v>
      </c>
      <c r="J113" s="56">
        <v>0.11700000000000001</v>
      </c>
    </row>
    <row r="114" spans="1:10" x14ac:dyDescent="0.2">
      <c r="A114" s="58" t="s">
        <v>720</v>
      </c>
      <c r="B114" s="58" t="s">
        <v>719</v>
      </c>
      <c r="C114" s="57" t="s">
        <v>718</v>
      </c>
      <c r="D114" s="56">
        <v>0.24</v>
      </c>
      <c r="E114" s="56">
        <v>4.9000000000000002E-2</v>
      </c>
      <c r="F114" s="56">
        <v>0</v>
      </c>
      <c r="G114" s="56">
        <v>4.3999999999999997E-2</v>
      </c>
      <c r="H114" s="56">
        <f t="shared" si="2"/>
        <v>0.14700000000000002</v>
      </c>
      <c r="I114" s="56">
        <v>2.9000000000000001E-2</v>
      </c>
      <c r="J114" s="56">
        <v>0.11700000000000001</v>
      </c>
    </row>
    <row r="115" spans="1:10" x14ac:dyDescent="0.2">
      <c r="A115" s="58" t="s">
        <v>717</v>
      </c>
      <c r="B115" s="58" t="s">
        <v>716</v>
      </c>
      <c r="C115" s="57" t="s">
        <v>715</v>
      </c>
      <c r="D115" s="56">
        <v>0.24</v>
      </c>
      <c r="E115" s="56">
        <v>4.9000000000000002E-2</v>
      </c>
      <c r="F115" s="56">
        <v>0</v>
      </c>
      <c r="G115" s="56">
        <v>4.3999999999999997E-2</v>
      </c>
      <c r="H115" s="56">
        <f t="shared" ref="H115:H146" si="3">D115-E115-F115-G115</f>
        <v>0.14700000000000002</v>
      </c>
      <c r="I115" s="56">
        <v>2.9000000000000001E-2</v>
      </c>
      <c r="J115" s="56">
        <v>0.11700000000000001</v>
      </c>
    </row>
    <row r="116" spans="1:10" x14ac:dyDescent="0.2">
      <c r="A116" s="58" t="s">
        <v>714</v>
      </c>
      <c r="B116" s="58" t="s">
        <v>713</v>
      </c>
      <c r="C116" s="57" t="s">
        <v>712</v>
      </c>
      <c r="D116" s="56">
        <v>0.24</v>
      </c>
      <c r="E116" s="56">
        <v>4.9000000000000002E-2</v>
      </c>
      <c r="F116" s="56">
        <v>0</v>
      </c>
      <c r="G116" s="56">
        <v>4.3999999999999997E-2</v>
      </c>
      <c r="H116" s="56">
        <f t="shared" si="3"/>
        <v>0.14700000000000002</v>
      </c>
      <c r="I116" s="56">
        <v>2.9000000000000001E-2</v>
      </c>
      <c r="J116" s="56">
        <v>0.11700000000000001</v>
      </c>
    </row>
    <row r="117" spans="1:10" x14ac:dyDescent="0.2">
      <c r="A117" s="58" t="s">
        <v>711</v>
      </c>
      <c r="B117" s="58" t="s">
        <v>710</v>
      </c>
      <c r="C117" s="57" t="s">
        <v>709</v>
      </c>
      <c r="D117" s="56">
        <v>0.24</v>
      </c>
      <c r="E117" s="56">
        <v>4.9000000000000002E-2</v>
      </c>
      <c r="F117" s="56">
        <v>0</v>
      </c>
      <c r="G117" s="56">
        <v>4.3999999999999997E-2</v>
      </c>
      <c r="H117" s="56">
        <f t="shared" si="3"/>
        <v>0.14700000000000002</v>
      </c>
      <c r="I117" s="56">
        <v>2.9000000000000001E-2</v>
      </c>
      <c r="J117" s="56">
        <v>0.11700000000000001</v>
      </c>
    </row>
    <row r="118" spans="1:10" x14ac:dyDescent="0.2">
      <c r="A118" s="58" t="s">
        <v>708</v>
      </c>
      <c r="B118" s="58" t="s">
        <v>707</v>
      </c>
      <c r="C118" s="57" t="s">
        <v>706</v>
      </c>
      <c r="D118" s="56">
        <v>0.24</v>
      </c>
      <c r="E118" s="56">
        <v>4.9000000000000002E-2</v>
      </c>
      <c r="F118" s="56">
        <v>0</v>
      </c>
      <c r="G118" s="56">
        <v>4.3999999999999997E-2</v>
      </c>
      <c r="H118" s="56">
        <f t="shared" si="3"/>
        <v>0.14700000000000002</v>
      </c>
      <c r="I118" s="56">
        <v>2.9000000000000001E-2</v>
      </c>
      <c r="J118" s="56">
        <v>0.11700000000000001</v>
      </c>
    </row>
    <row r="119" spans="1:10" x14ac:dyDescent="0.2">
      <c r="A119" s="58" t="s">
        <v>705</v>
      </c>
      <c r="B119" s="58" t="s">
        <v>704</v>
      </c>
      <c r="C119" s="57" t="s">
        <v>703</v>
      </c>
      <c r="D119" s="56">
        <v>0.24</v>
      </c>
      <c r="E119" s="56">
        <v>4.9000000000000002E-2</v>
      </c>
      <c r="F119" s="56">
        <v>0</v>
      </c>
      <c r="G119" s="56">
        <v>4.3999999999999997E-2</v>
      </c>
      <c r="H119" s="56">
        <f t="shared" si="3"/>
        <v>0.14700000000000002</v>
      </c>
      <c r="I119" s="56">
        <v>2.9000000000000001E-2</v>
      </c>
      <c r="J119" s="56">
        <v>0.11700000000000001</v>
      </c>
    </row>
    <row r="120" spans="1:10" x14ac:dyDescent="0.2">
      <c r="A120" s="58" t="s">
        <v>702</v>
      </c>
      <c r="B120" s="58" t="s">
        <v>701</v>
      </c>
      <c r="C120" s="57" t="s">
        <v>700</v>
      </c>
      <c r="D120" s="56">
        <v>0.24</v>
      </c>
      <c r="E120" s="56">
        <v>4.9000000000000002E-2</v>
      </c>
      <c r="F120" s="56">
        <v>0</v>
      </c>
      <c r="G120" s="56">
        <v>4.3999999999999997E-2</v>
      </c>
      <c r="H120" s="56">
        <f t="shared" si="3"/>
        <v>0.14700000000000002</v>
      </c>
      <c r="I120" s="56">
        <v>2.9000000000000001E-2</v>
      </c>
      <c r="J120" s="56">
        <v>0.11700000000000001</v>
      </c>
    </row>
    <row r="121" spans="1:10" ht="25.5" x14ac:dyDescent="0.2">
      <c r="A121" s="58" t="s">
        <v>699</v>
      </c>
      <c r="B121" s="58" t="s">
        <v>698</v>
      </c>
      <c r="C121" s="57" t="s">
        <v>697</v>
      </c>
      <c r="D121" s="56">
        <v>0.24</v>
      </c>
      <c r="E121" s="56">
        <v>4.9000000000000002E-2</v>
      </c>
      <c r="F121" s="56">
        <v>0</v>
      </c>
      <c r="G121" s="56">
        <v>4.3999999999999997E-2</v>
      </c>
      <c r="H121" s="56">
        <f t="shared" si="3"/>
        <v>0.14700000000000002</v>
      </c>
      <c r="I121" s="56">
        <v>2.9000000000000001E-2</v>
      </c>
      <c r="J121" s="56">
        <v>0.11700000000000001</v>
      </c>
    </row>
    <row r="122" spans="1:10" ht="25.5" x14ac:dyDescent="0.2">
      <c r="A122" s="58" t="s">
        <v>696</v>
      </c>
      <c r="B122" s="58" t="s">
        <v>695</v>
      </c>
      <c r="C122" s="57" t="s">
        <v>694</v>
      </c>
      <c r="D122" s="56">
        <v>0.24</v>
      </c>
      <c r="E122" s="56">
        <v>4.9000000000000002E-2</v>
      </c>
      <c r="F122" s="56">
        <v>0</v>
      </c>
      <c r="G122" s="56">
        <v>4.3999999999999997E-2</v>
      </c>
      <c r="H122" s="56">
        <f t="shared" si="3"/>
        <v>0.14700000000000002</v>
      </c>
      <c r="I122" s="56">
        <v>2.9000000000000001E-2</v>
      </c>
      <c r="J122" s="56">
        <v>0.11700000000000001</v>
      </c>
    </row>
    <row r="123" spans="1:10" x14ac:dyDescent="0.2">
      <c r="A123" s="66"/>
      <c r="B123" s="66"/>
      <c r="C123" s="65"/>
      <c r="D123" s="56">
        <v>0.24</v>
      </c>
      <c r="E123" s="56">
        <v>4.9000000000000002E-2</v>
      </c>
      <c r="F123" s="56">
        <v>0</v>
      </c>
      <c r="G123" s="56">
        <v>4.3999999999999997E-2</v>
      </c>
      <c r="H123" s="56">
        <f t="shared" si="3"/>
        <v>0.14700000000000002</v>
      </c>
      <c r="I123" s="56">
        <v>2.9000000000000001E-2</v>
      </c>
      <c r="J123" s="56">
        <v>0.11700000000000001</v>
      </c>
    </row>
    <row r="124" spans="1:10" x14ac:dyDescent="0.2">
      <c r="A124" s="58"/>
      <c r="B124" s="58" t="s">
        <v>693</v>
      </c>
      <c r="C124" s="57" t="s">
        <v>472</v>
      </c>
      <c r="D124" s="56">
        <v>0.24</v>
      </c>
      <c r="E124" s="56">
        <v>4.9000000000000002E-2</v>
      </c>
      <c r="F124" s="56">
        <v>0</v>
      </c>
      <c r="G124" s="56">
        <v>4.3999999999999997E-2</v>
      </c>
      <c r="H124" s="56">
        <f t="shared" si="3"/>
        <v>0.14700000000000002</v>
      </c>
      <c r="I124" s="56">
        <v>2.9000000000000001E-2</v>
      </c>
      <c r="J124" s="56">
        <v>0.11700000000000001</v>
      </c>
    </row>
    <row r="125" spans="1:10" x14ac:dyDescent="0.2">
      <c r="A125" s="58" t="s">
        <v>692</v>
      </c>
      <c r="B125" s="58" t="s">
        <v>691</v>
      </c>
      <c r="C125" s="57" t="s">
        <v>472</v>
      </c>
      <c r="D125" s="56">
        <v>0.24</v>
      </c>
      <c r="E125" s="56">
        <v>4.9000000000000002E-2</v>
      </c>
      <c r="F125" s="56">
        <v>0</v>
      </c>
      <c r="G125" s="56">
        <v>4.3999999999999997E-2</v>
      </c>
      <c r="H125" s="56">
        <f t="shared" si="3"/>
        <v>0.14700000000000002</v>
      </c>
      <c r="I125" s="56">
        <v>2.9000000000000001E-2</v>
      </c>
      <c r="J125" s="56">
        <v>0.11700000000000001</v>
      </c>
    </row>
    <row r="126" spans="1:10" x14ac:dyDescent="0.2">
      <c r="A126" s="58" t="s">
        <v>690</v>
      </c>
      <c r="B126" s="58" t="s">
        <v>689</v>
      </c>
      <c r="C126" s="57" t="s">
        <v>688</v>
      </c>
      <c r="D126" s="56">
        <v>0.24</v>
      </c>
      <c r="E126" s="56">
        <v>4.9000000000000002E-2</v>
      </c>
      <c r="F126" s="56">
        <v>0</v>
      </c>
      <c r="G126" s="56">
        <v>4.3999999999999997E-2</v>
      </c>
      <c r="H126" s="56">
        <f t="shared" si="3"/>
        <v>0.14700000000000002</v>
      </c>
      <c r="I126" s="56">
        <v>2.9000000000000001E-2</v>
      </c>
      <c r="J126" s="56">
        <v>0.11700000000000001</v>
      </c>
    </row>
    <row r="127" spans="1:10" x14ac:dyDescent="0.2">
      <c r="A127" s="60"/>
      <c r="B127" s="60" t="s">
        <v>687</v>
      </c>
      <c r="C127" s="59" t="s">
        <v>467</v>
      </c>
      <c r="D127" s="56">
        <v>0.24</v>
      </c>
      <c r="E127" s="56">
        <v>4.9000000000000002E-2</v>
      </c>
      <c r="F127" s="56">
        <v>0</v>
      </c>
      <c r="G127" s="56">
        <v>4.3999999999999997E-2</v>
      </c>
      <c r="H127" s="56">
        <f t="shared" si="3"/>
        <v>0.14700000000000002</v>
      </c>
      <c r="I127" s="56">
        <v>2.9000000000000001E-2</v>
      </c>
      <c r="J127" s="56">
        <v>0.11700000000000001</v>
      </c>
    </row>
    <row r="128" spans="1:10" x14ac:dyDescent="0.2">
      <c r="A128" s="58"/>
      <c r="B128" s="58" t="s">
        <v>223</v>
      </c>
      <c r="C128" s="57" t="s">
        <v>465</v>
      </c>
      <c r="D128" s="56">
        <v>0.24</v>
      </c>
      <c r="E128" s="56">
        <v>4.9000000000000002E-2</v>
      </c>
      <c r="F128" s="56">
        <v>0</v>
      </c>
      <c r="G128" s="56">
        <v>4.3999999999999997E-2</v>
      </c>
      <c r="H128" s="56">
        <f t="shared" si="3"/>
        <v>0.14700000000000002</v>
      </c>
      <c r="I128" s="56">
        <v>2.9000000000000001E-2</v>
      </c>
      <c r="J128" s="56">
        <v>0.11700000000000001</v>
      </c>
    </row>
    <row r="129" spans="1:10" x14ac:dyDescent="0.2">
      <c r="A129" s="64"/>
      <c r="B129" s="64" t="s">
        <v>686</v>
      </c>
      <c r="C129" s="63" t="s">
        <v>685</v>
      </c>
      <c r="D129" s="56"/>
      <c r="E129" s="56">
        <v>4.9000000000000002E-2</v>
      </c>
      <c r="F129" s="56">
        <v>0</v>
      </c>
      <c r="G129" s="56"/>
      <c r="H129" s="56"/>
      <c r="I129" s="56"/>
      <c r="J129" s="56"/>
    </row>
    <row r="130" spans="1:10" x14ac:dyDescent="0.2">
      <c r="A130" s="62"/>
      <c r="B130" s="62" t="s">
        <v>684</v>
      </c>
      <c r="C130" s="61" t="s">
        <v>683</v>
      </c>
      <c r="D130" s="56">
        <v>0.55000000000000004</v>
      </c>
      <c r="E130" s="56">
        <v>4.9000000000000002E-2</v>
      </c>
      <c r="F130" s="56">
        <v>0</v>
      </c>
      <c r="G130" s="56">
        <v>0.11600000000000001</v>
      </c>
      <c r="H130" s="56">
        <f t="shared" ref="H130:H135" si="4">D130-E130-F130-G130</f>
        <v>0.38500000000000001</v>
      </c>
      <c r="I130" s="56">
        <v>7.6999999999999999E-2</v>
      </c>
      <c r="J130" s="56">
        <v>0.308</v>
      </c>
    </row>
    <row r="131" spans="1:10" x14ac:dyDescent="0.2">
      <c r="A131" s="62"/>
      <c r="B131" s="62"/>
      <c r="C131" s="61" t="s">
        <v>13</v>
      </c>
      <c r="D131" s="56">
        <v>0.55000000000000004</v>
      </c>
      <c r="E131" s="56">
        <v>4.9000000000000002E-2</v>
      </c>
      <c r="F131" s="56">
        <v>0</v>
      </c>
      <c r="G131" s="56">
        <v>0.11600000000000001</v>
      </c>
      <c r="H131" s="56">
        <f t="shared" si="4"/>
        <v>0.38500000000000001</v>
      </c>
      <c r="I131" s="56">
        <v>7.6999999999999999E-2</v>
      </c>
      <c r="J131" s="56">
        <v>0.308</v>
      </c>
    </row>
    <row r="132" spans="1:10" x14ac:dyDescent="0.2">
      <c r="A132" s="60">
        <v>0</v>
      </c>
      <c r="B132" s="60" t="s">
        <v>682</v>
      </c>
      <c r="C132" s="59" t="s">
        <v>681</v>
      </c>
      <c r="D132" s="56">
        <v>0.55000000000000004</v>
      </c>
      <c r="E132" s="56">
        <v>4.9000000000000002E-2</v>
      </c>
      <c r="F132" s="56">
        <v>0</v>
      </c>
      <c r="G132" s="56">
        <v>0.11600000000000001</v>
      </c>
      <c r="H132" s="56">
        <f t="shared" si="4"/>
        <v>0.38500000000000001</v>
      </c>
      <c r="I132" s="56">
        <v>7.6999999999999999E-2</v>
      </c>
      <c r="J132" s="56">
        <v>0.308</v>
      </c>
    </row>
    <row r="133" spans="1:10" x14ac:dyDescent="0.2">
      <c r="A133" s="58" t="s">
        <v>680</v>
      </c>
      <c r="B133" s="58" t="s">
        <v>297</v>
      </c>
      <c r="C133" s="57" t="s">
        <v>679</v>
      </c>
      <c r="D133" s="56">
        <v>0.55000000000000004</v>
      </c>
      <c r="E133" s="56">
        <v>4.9000000000000002E-2</v>
      </c>
      <c r="F133" s="56">
        <v>0</v>
      </c>
      <c r="G133" s="56">
        <v>0.11600000000000001</v>
      </c>
      <c r="H133" s="56">
        <f t="shared" si="4"/>
        <v>0.38500000000000001</v>
      </c>
      <c r="I133" s="56">
        <v>7.6999999999999999E-2</v>
      </c>
      <c r="J133" s="56">
        <v>0.308</v>
      </c>
    </row>
    <row r="134" spans="1:10" x14ac:dyDescent="0.2">
      <c r="A134" s="58" t="s">
        <v>678</v>
      </c>
      <c r="B134" s="58" t="s">
        <v>677</v>
      </c>
      <c r="C134" s="57" t="s">
        <v>676</v>
      </c>
      <c r="D134" s="56">
        <v>0.55000000000000004</v>
      </c>
      <c r="E134" s="56">
        <v>4.9000000000000002E-2</v>
      </c>
      <c r="F134" s="56">
        <v>0</v>
      </c>
      <c r="G134" s="56">
        <v>0.11600000000000001</v>
      </c>
      <c r="H134" s="56">
        <f t="shared" si="4"/>
        <v>0.38500000000000001</v>
      </c>
      <c r="I134" s="56">
        <v>7.6999999999999999E-2</v>
      </c>
      <c r="J134" s="56">
        <v>0.308</v>
      </c>
    </row>
    <row r="135" spans="1:10" x14ac:dyDescent="0.2">
      <c r="A135" s="58" t="s">
        <v>675</v>
      </c>
      <c r="B135" s="58" t="s">
        <v>674</v>
      </c>
      <c r="C135" s="57" t="s">
        <v>673</v>
      </c>
      <c r="D135" s="56">
        <v>0.55000000000000004</v>
      </c>
      <c r="E135" s="56">
        <v>4.9000000000000002E-2</v>
      </c>
      <c r="F135" s="56">
        <v>0</v>
      </c>
      <c r="G135" s="56">
        <v>0.11600000000000001</v>
      </c>
      <c r="H135" s="56">
        <f t="shared" si="4"/>
        <v>0.38500000000000001</v>
      </c>
      <c r="I135" s="56">
        <v>7.6999999999999999E-2</v>
      </c>
      <c r="J135" s="56">
        <v>0.308</v>
      </c>
    </row>
    <row r="136" spans="1:10" x14ac:dyDescent="0.2">
      <c r="A136" s="62"/>
      <c r="B136" s="62" t="s">
        <v>672</v>
      </c>
      <c r="C136" s="61" t="s">
        <v>671</v>
      </c>
      <c r="D136" s="56"/>
      <c r="E136" s="56">
        <v>4.9000000000000002E-2</v>
      </c>
      <c r="F136" s="56">
        <v>0</v>
      </c>
      <c r="G136" s="56"/>
      <c r="H136" s="56"/>
      <c r="I136" s="56"/>
      <c r="J136" s="56"/>
    </row>
    <row r="137" spans="1:10" x14ac:dyDescent="0.2">
      <c r="A137" s="60"/>
      <c r="B137" s="60" t="s">
        <v>670</v>
      </c>
      <c r="C137" s="59" t="s">
        <v>669</v>
      </c>
      <c r="D137" s="56">
        <v>0.26300000000000001</v>
      </c>
      <c r="E137" s="56">
        <v>4.9000000000000002E-2</v>
      </c>
      <c r="F137" s="56">
        <v>0</v>
      </c>
      <c r="G137" s="56">
        <v>0.05</v>
      </c>
      <c r="H137" s="56">
        <f t="shared" ref="H137:H168" si="5">D137-E137-F137-G137</f>
        <v>0.16400000000000003</v>
      </c>
      <c r="I137" s="56">
        <v>3.3000000000000002E-2</v>
      </c>
      <c r="J137" s="56">
        <v>0.13200000000000001</v>
      </c>
    </row>
    <row r="138" spans="1:10" x14ac:dyDescent="0.2">
      <c r="A138" s="58"/>
      <c r="B138" s="58" t="s">
        <v>668</v>
      </c>
      <c r="C138" s="57" t="s">
        <v>667</v>
      </c>
      <c r="D138" s="56">
        <v>0.26300000000000001</v>
      </c>
      <c r="E138" s="56">
        <v>4.9000000000000002E-2</v>
      </c>
      <c r="F138" s="56">
        <v>0</v>
      </c>
      <c r="G138" s="56">
        <v>0.05</v>
      </c>
      <c r="H138" s="56">
        <f t="shared" si="5"/>
        <v>0.16400000000000003</v>
      </c>
      <c r="I138" s="56">
        <v>3.3000000000000002E-2</v>
      </c>
      <c r="J138" s="56">
        <v>0.13200000000000001</v>
      </c>
    </row>
    <row r="139" spans="1:10" ht="25.5" x14ac:dyDescent="0.2">
      <c r="A139" s="58" t="s">
        <v>666</v>
      </c>
      <c r="B139" s="58" t="s">
        <v>665</v>
      </c>
      <c r="C139" s="57" t="s">
        <v>664</v>
      </c>
      <c r="D139" s="56">
        <v>0.26300000000000001</v>
      </c>
      <c r="E139" s="56">
        <v>4.9000000000000002E-2</v>
      </c>
      <c r="F139" s="56">
        <v>0</v>
      </c>
      <c r="G139" s="56">
        <v>0.05</v>
      </c>
      <c r="H139" s="56">
        <f t="shared" si="5"/>
        <v>0.16400000000000003</v>
      </c>
      <c r="I139" s="56">
        <v>3.3000000000000002E-2</v>
      </c>
      <c r="J139" s="56">
        <v>0.13200000000000001</v>
      </c>
    </row>
    <row r="140" spans="1:10" x14ac:dyDescent="0.2">
      <c r="A140" s="58" t="s">
        <v>663</v>
      </c>
      <c r="B140" s="58" t="s">
        <v>662</v>
      </c>
      <c r="C140" s="57" t="s">
        <v>661</v>
      </c>
      <c r="D140" s="56">
        <v>0.26300000000000001</v>
      </c>
      <c r="E140" s="56">
        <v>4.9000000000000002E-2</v>
      </c>
      <c r="F140" s="56">
        <v>0</v>
      </c>
      <c r="G140" s="56">
        <v>0.05</v>
      </c>
      <c r="H140" s="56">
        <f t="shared" si="5"/>
        <v>0.16400000000000003</v>
      </c>
      <c r="I140" s="56">
        <v>3.3000000000000002E-2</v>
      </c>
      <c r="J140" s="56">
        <v>0.13200000000000001</v>
      </c>
    </row>
    <row r="141" spans="1:10" x14ac:dyDescent="0.2">
      <c r="A141" s="58"/>
      <c r="B141" s="58" t="s">
        <v>660</v>
      </c>
      <c r="C141" s="57" t="s">
        <v>659</v>
      </c>
      <c r="D141" s="56">
        <v>0.26300000000000001</v>
      </c>
      <c r="E141" s="56">
        <v>4.9000000000000002E-2</v>
      </c>
      <c r="F141" s="56">
        <v>0</v>
      </c>
      <c r="G141" s="56">
        <v>0.05</v>
      </c>
      <c r="H141" s="56">
        <f t="shared" si="5"/>
        <v>0.16400000000000003</v>
      </c>
      <c r="I141" s="56">
        <v>3.3000000000000002E-2</v>
      </c>
      <c r="J141" s="56">
        <v>0.13200000000000001</v>
      </c>
    </row>
    <row r="142" spans="1:10" ht="25.5" x14ac:dyDescent="0.2">
      <c r="A142" s="58" t="s">
        <v>658</v>
      </c>
      <c r="B142" s="58" t="s">
        <v>657</v>
      </c>
      <c r="C142" s="57" t="s">
        <v>656</v>
      </c>
      <c r="D142" s="56">
        <v>0.26300000000000001</v>
      </c>
      <c r="E142" s="56">
        <v>4.9000000000000002E-2</v>
      </c>
      <c r="F142" s="56">
        <v>0</v>
      </c>
      <c r="G142" s="56">
        <v>0.05</v>
      </c>
      <c r="H142" s="56">
        <f t="shared" si="5"/>
        <v>0.16400000000000003</v>
      </c>
      <c r="I142" s="56">
        <v>3.3000000000000002E-2</v>
      </c>
      <c r="J142" s="56">
        <v>0.13200000000000001</v>
      </c>
    </row>
    <row r="143" spans="1:10" x14ac:dyDescent="0.2">
      <c r="A143" s="58" t="s">
        <v>655</v>
      </c>
      <c r="B143" s="58" t="s">
        <v>654</v>
      </c>
      <c r="C143" s="57" t="s">
        <v>653</v>
      </c>
      <c r="D143" s="56">
        <v>0.26300000000000001</v>
      </c>
      <c r="E143" s="56">
        <v>4.9000000000000002E-2</v>
      </c>
      <c r="F143" s="56">
        <v>0</v>
      </c>
      <c r="G143" s="56">
        <v>0.05</v>
      </c>
      <c r="H143" s="56">
        <f t="shared" si="5"/>
        <v>0.16400000000000003</v>
      </c>
      <c r="I143" s="56">
        <v>3.3000000000000002E-2</v>
      </c>
      <c r="J143" s="56">
        <v>0.13200000000000001</v>
      </c>
    </row>
    <row r="144" spans="1:10" x14ac:dyDescent="0.2">
      <c r="A144" s="58" t="s">
        <v>652</v>
      </c>
      <c r="B144" s="58" t="s">
        <v>651</v>
      </c>
      <c r="C144" s="57" t="s">
        <v>650</v>
      </c>
      <c r="D144" s="56">
        <v>0.26300000000000001</v>
      </c>
      <c r="E144" s="56">
        <v>4.9000000000000002E-2</v>
      </c>
      <c r="F144" s="56">
        <v>0</v>
      </c>
      <c r="G144" s="56">
        <v>0.05</v>
      </c>
      <c r="H144" s="56">
        <f t="shared" si="5"/>
        <v>0.16400000000000003</v>
      </c>
      <c r="I144" s="56">
        <v>3.3000000000000002E-2</v>
      </c>
      <c r="J144" s="56">
        <v>0.13200000000000001</v>
      </c>
    </row>
    <row r="145" spans="1:10" x14ac:dyDescent="0.2">
      <c r="A145" s="58"/>
      <c r="B145" s="58" t="s">
        <v>649</v>
      </c>
      <c r="C145" s="57" t="s">
        <v>648</v>
      </c>
      <c r="D145" s="56">
        <v>0.26300000000000001</v>
      </c>
      <c r="E145" s="56">
        <v>4.9000000000000002E-2</v>
      </c>
      <c r="F145" s="56">
        <v>0</v>
      </c>
      <c r="G145" s="56">
        <v>0.05</v>
      </c>
      <c r="H145" s="56">
        <f t="shared" si="5"/>
        <v>0.16400000000000003</v>
      </c>
      <c r="I145" s="56">
        <v>3.3000000000000002E-2</v>
      </c>
      <c r="J145" s="56">
        <v>0.13200000000000001</v>
      </c>
    </row>
    <row r="146" spans="1:10" x14ac:dyDescent="0.2">
      <c r="A146" s="58" t="s">
        <v>647</v>
      </c>
      <c r="B146" s="58" t="s">
        <v>646</v>
      </c>
      <c r="C146" s="57" t="s">
        <v>645</v>
      </c>
      <c r="D146" s="56">
        <v>0.26300000000000001</v>
      </c>
      <c r="E146" s="56">
        <v>4.9000000000000002E-2</v>
      </c>
      <c r="F146" s="56">
        <v>0</v>
      </c>
      <c r="G146" s="56">
        <v>0.05</v>
      </c>
      <c r="H146" s="56">
        <f t="shared" si="5"/>
        <v>0.16400000000000003</v>
      </c>
      <c r="I146" s="56">
        <v>3.3000000000000002E-2</v>
      </c>
      <c r="J146" s="56">
        <v>0.13200000000000001</v>
      </c>
    </row>
    <row r="147" spans="1:10" x14ac:dyDescent="0.2">
      <c r="A147" s="58" t="s">
        <v>644</v>
      </c>
      <c r="B147" s="58" t="s">
        <v>643</v>
      </c>
      <c r="C147" s="57" t="s">
        <v>642</v>
      </c>
      <c r="D147" s="56">
        <v>0.26300000000000001</v>
      </c>
      <c r="E147" s="56">
        <v>4.9000000000000002E-2</v>
      </c>
      <c r="F147" s="56">
        <v>0</v>
      </c>
      <c r="G147" s="56">
        <v>0.05</v>
      </c>
      <c r="H147" s="56">
        <f t="shared" si="5"/>
        <v>0.16400000000000003</v>
      </c>
      <c r="I147" s="56">
        <v>3.3000000000000002E-2</v>
      </c>
      <c r="J147" s="56">
        <v>0.13200000000000001</v>
      </c>
    </row>
    <row r="148" spans="1:10" ht="25.5" x14ac:dyDescent="0.2">
      <c r="A148" s="58" t="s">
        <v>641</v>
      </c>
      <c r="B148" s="58" t="s">
        <v>640</v>
      </c>
      <c r="C148" s="57" t="s">
        <v>639</v>
      </c>
      <c r="D148" s="56">
        <v>0.26300000000000001</v>
      </c>
      <c r="E148" s="56">
        <v>4.9000000000000002E-2</v>
      </c>
      <c r="F148" s="56">
        <v>0</v>
      </c>
      <c r="G148" s="56">
        <v>0.05</v>
      </c>
      <c r="H148" s="56">
        <f t="shared" si="5"/>
        <v>0.16400000000000003</v>
      </c>
      <c r="I148" s="56">
        <v>3.3000000000000002E-2</v>
      </c>
      <c r="J148" s="56">
        <v>0.13200000000000001</v>
      </c>
    </row>
    <row r="149" spans="1:10" x14ac:dyDescent="0.2">
      <c r="A149" s="58" t="s">
        <v>638</v>
      </c>
      <c r="B149" s="58" t="s">
        <v>637</v>
      </c>
      <c r="C149" s="57" t="s">
        <v>636</v>
      </c>
      <c r="D149" s="56">
        <v>0.26300000000000001</v>
      </c>
      <c r="E149" s="56">
        <v>4.9000000000000002E-2</v>
      </c>
      <c r="F149" s="56">
        <v>0</v>
      </c>
      <c r="G149" s="56">
        <v>0.05</v>
      </c>
      <c r="H149" s="56">
        <f t="shared" si="5"/>
        <v>0.16400000000000003</v>
      </c>
      <c r="I149" s="56">
        <v>3.3000000000000002E-2</v>
      </c>
      <c r="J149" s="56">
        <v>0.13200000000000001</v>
      </c>
    </row>
    <row r="150" spans="1:10" x14ac:dyDescent="0.2">
      <c r="A150" s="60"/>
      <c r="B150" s="60" t="s">
        <v>635</v>
      </c>
      <c r="C150" s="59" t="s">
        <v>634</v>
      </c>
      <c r="D150" s="56">
        <v>0.27</v>
      </c>
      <c r="E150" s="56">
        <v>4.9000000000000002E-2</v>
      </c>
      <c r="F150" s="56">
        <v>0</v>
      </c>
      <c r="G150" s="56">
        <v>5.1999999999999998E-2</v>
      </c>
      <c r="H150" s="56">
        <f t="shared" si="5"/>
        <v>0.16900000000000004</v>
      </c>
      <c r="I150" s="56">
        <v>3.3000000000000002E-2</v>
      </c>
      <c r="J150" s="56">
        <v>0.13600000000000001</v>
      </c>
    </row>
    <row r="151" spans="1:10" x14ac:dyDescent="0.2">
      <c r="A151" s="58"/>
      <c r="B151" s="58" t="s">
        <v>633</v>
      </c>
      <c r="C151" s="57" t="s">
        <v>632</v>
      </c>
      <c r="D151" s="56">
        <v>0.27</v>
      </c>
      <c r="E151" s="56">
        <v>4.9000000000000002E-2</v>
      </c>
      <c r="F151" s="56">
        <v>0</v>
      </c>
      <c r="G151" s="56">
        <v>5.1999999999999998E-2</v>
      </c>
      <c r="H151" s="56">
        <f t="shared" si="5"/>
        <v>0.16900000000000004</v>
      </c>
      <c r="I151" s="56">
        <v>3.3000000000000002E-2</v>
      </c>
      <c r="J151" s="56">
        <v>0.13600000000000001</v>
      </c>
    </row>
    <row r="152" spans="1:10" x14ac:dyDescent="0.2">
      <c r="A152" s="60"/>
      <c r="B152" s="60" t="s">
        <v>631</v>
      </c>
      <c r="C152" s="59" t="s">
        <v>628</v>
      </c>
      <c r="D152" s="56">
        <v>0.08</v>
      </c>
      <c r="E152" s="56">
        <v>4.9000000000000002E-2</v>
      </c>
      <c r="F152" s="56">
        <v>0</v>
      </c>
      <c r="G152" s="56">
        <v>7.0000000000000001E-3</v>
      </c>
      <c r="H152" s="56">
        <f t="shared" si="5"/>
        <v>2.4E-2</v>
      </c>
      <c r="I152" s="56">
        <v>5.0000000000000001E-3</v>
      </c>
      <c r="J152" s="56">
        <v>1.9E-2</v>
      </c>
    </row>
    <row r="153" spans="1:10" x14ac:dyDescent="0.2">
      <c r="A153" s="58" t="s">
        <v>630</v>
      </c>
      <c r="B153" s="58" t="s">
        <v>629</v>
      </c>
      <c r="C153" s="57" t="s">
        <v>628</v>
      </c>
      <c r="D153" s="56">
        <v>0.08</v>
      </c>
      <c r="E153" s="56">
        <v>4.9000000000000002E-2</v>
      </c>
      <c r="F153" s="56">
        <v>0</v>
      </c>
      <c r="G153" s="56">
        <v>7.0000000000000001E-3</v>
      </c>
      <c r="H153" s="56">
        <f t="shared" si="5"/>
        <v>2.4E-2</v>
      </c>
      <c r="I153" s="56">
        <v>5.0000000000000001E-3</v>
      </c>
      <c r="J153" s="56">
        <v>1.9E-2</v>
      </c>
    </row>
    <row r="154" spans="1:10" x14ac:dyDescent="0.2">
      <c r="A154" s="58" t="s">
        <v>627</v>
      </c>
      <c r="B154" s="58" t="s">
        <v>626</v>
      </c>
      <c r="C154" s="57" t="s">
        <v>625</v>
      </c>
      <c r="D154" s="56">
        <v>0.08</v>
      </c>
      <c r="E154" s="56">
        <v>4.9000000000000002E-2</v>
      </c>
      <c r="F154" s="56">
        <v>0</v>
      </c>
      <c r="G154" s="56">
        <v>7.0000000000000001E-3</v>
      </c>
      <c r="H154" s="56">
        <f t="shared" si="5"/>
        <v>2.4E-2</v>
      </c>
      <c r="I154" s="56">
        <v>5.0000000000000001E-3</v>
      </c>
      <c r="J154" s="56">
        <v>1.9E-2</v>
      </c>
    </row>
    <row r="155" spans="1:10" x14ac:dyDescent="0.2">
      <c r="A155" s="58" t="s">
        <v>624</v>
      </c>
      <c r="B155" s="58" t="s">
        <v>623</v>
      </c>
      <c r="C155" s="57" t="s">
        <v>622</v>
      </c>
      <c r="D155" s="56">
        <v>0.08</v>
      </c>
      <c r="E155" s="56">
        <v>4.9000000000000002E-2</v>
      </c>
      <c r="F155" s="56">
        <v>0</v>
      </c>
      <c r="G155" s="56">
        <v>7.0000000000000001E-3</v>
      </c>
      <c r="H155" s="56">
        <f t="shared" si="5"/>
        <v>2.4E-2</v>
      </c>
      <c r="I155" s="56">
        <v>5.0000000000000001E-3</v>
      </c>
      <c r="J155" s="56">
        <v>1.9E-2</v>
      </c>
    </row>
    <row r="156" spans="1:10" x14ac:dyDescent="0.2">
      <c r="A156" s="60"/>
      <c r="B156" s="60" t="s">
        <v>621</v>
      </c>
      <c r="C156" s="59" t="s">
        <v>620</v>
      </c>
      <c r="D156" s="56">
        <v>0.24</v>
      </c>
      <c r="E156" s="56">
        <v>4.9000000000000002E-2</v>
      </c>
      <c r="F156" s="56">
        <v>0</v>
      </c>
      <c r="G156" s="56">
        <v>4.3999999999999997E-2</v>
      </c>
      <c r="H156" s="56">
        <f t="shared" si="5"/>
        <v>0.14700000000000002</v>
      </c>
      <c r="I156" s="56">
        <v>2.9000000000000001E-2</v>
      </c>
      <c r="J156" s="56">
        <v>0.11700000000000001</v>
      </c>
    </row>
    <row r="157" spans="1:10" x14ac:dyDescent="0.2">
      <c r="A157" s="58" t="s">
        <v>619</v>
      </c>
      <c r="B157" s="58" t="s">
        <v>618</v>
      </c>
      <c r="C157" s="57" t="s">
        <v>617</v>
      </c>
      <c r="D157" s="56">
        <v>0.24</v>
      </c>
      <c r="E157" s="56">
        <v>4.9000000000000002E-2</v>
      </c>
      <c r="F157" s="56">
        <v>0</v>
      </c>
      <c r="G157" s="56">
        <v>4.3999999999999997E-2</v>
      </c>
      <c r="H157" s="56">
        <f t="shared" si="5"/>
        <v>0.14700000000000002</v>
      </c>
      <c r="I157" s="56">
        <v>2.9000000000000001E-2</v>
      </c>
      <c r="J157" s="56">
        <v>0.11700000000000001</v>
      </c>
    </row>
    <row r="158" spans="1:10" x14ac:dyDescent="0.2">
      <c r="A158" s="60"/>
      <c r="B158" s="60" t="s">
        <v>616</v>
      </c>
      <c r="C158" s="59" t="s">
        <v>615</v>
      </c>
      <c r="D158" s="56">
        <v>0.24</v>
      </c>
      <c r="E158" s="56">
        <v>4.9000000000000002E-2</v>
      </c>
      <c r="F158" s="56">
        <v>0</v>
      </c>
      <c r="G158" s="56">
        <v>4.3999999999999997E-2</v>
      </c>
      <c r="H158" s="56">
        <f t="shared" si="5"/>
        <v>0.14700000000000002</v>
      </c>
      <c r="I158" s="56">
        <v>2.9000000000000001E-2</v>
      </c>
      <c r="J158" s="56">
        <v>0.11700000000000001</v>
      </c>
    </row>
    <row r="159" spans="1:10" x14ac:dyDescent="0.2">
      <c r="A159" s="58" t="s">
        <v>614</v>
      </c>
      <c r="B159" s="58" t="s">
        <v>613</v>
      </c>
      <c r="C159" s="57" t="s">
        <v>612</v>
      </c>
      <c r="D159" s="56">
        <v>0.24</v>
      </c>
      <c r="E159" s="56">
        <v>4.9000000000000002E-2</v>
      </c>
      <c r="F159" s="56">
        <v>0</v>
      </c>
      <c r="G159" s="56">
        <v>4.3999999999999997E-2</v>
      </c>
      <c r="H159" s="56">
        <f t="shared" si="5"/>
        <v>0.14700000000000002</v>
      </c>
      <c r="I159" s="56">
        <v>2.9000000000000001E-2</v>
      </c>
      <c r="J159" s="56">
        <v>0.11700000000000001</v>
      </c>
    </row>
    <row r="160" spans="1:10" x14ac:dyDescent="0.2">
      <c r="A160" s="60"/>
      <c r="B160" s="60" t="s">
        <v>611</v>
      </c>
      <c r="C160" s="59" t="s">
        <v>610</v>
      </c>
      <c r="D160" s="56">
        <v>0.27</v>
      </c>
      <c r="E160" s="56">
        <v>4.9000000000000002E-2</v>
      </c>
      <c r="F160" s="56">
        <v>0</v>
      </c>
      <c r="G160" s="56">
        <v>5.1999999999999998E-2</v>
      </c>
      <c r="H160" s="56">
        <f t="shared" si="5"/>
        <v>0.16900000000000004</v>
      </c>
      <c r="I160" s="56">
        <v>3.3000000000000002E-2</v>
      </c>
      <c r="J160" s="56">
        <v>0.13600000000000001</v>
      </c>
    </row>
    <row r="161" spans="1:10" ht="25.5" x14ac:dyDescent="0.2">
      <c r="A161" s="58" t="s">
        <v>609</v>
      </c>
      <c r="B161" s="58" t="s">
        <v>608</v>
      </c>
      <c r="C161" s="57" t="s">
        <v>607</v>
      </c>
      <c r="D161" s="56">
        <v>0.27</v>
      </c>
      <c r="E161" s="56">
        <v>4.9000000000000002E-2</v>
      </c>
      <c r="F161" s="56">
        <v>0</v>
      </c>
      <c r="G161" s="56">
        <v>5.1999999999999998E-2</v>
      </c>
      <c r="H161" s="56">
        <f t="shared" si="5"/>
        <v>0.16900000000000004</v>
      </c>
      <c r="I161" s="56">
        <v>3.3000000000000002E-2</v>
      </c>
      <c r="J161" s="56">
        <v>0.13600000000000001</v>
      </c>
    </row>
    <row r="162" spans="1:10" x14ac:dyDescent="0.2">
      <c r="A162" s="60"/>
      <c r="B162" s="60" t="s">
        <v>606</v>
      </c>
      <c r="C162" s="59" t="s">
        <v>603</v>
      </c>
      <c r="D162" s="56">
        <v>0.44</v>
      </c>
      <c r="E162" s="56">
        <v>4.9000000000000002E-2</v>
      </c>
      <c r="F162" s="56">
        <v>0</v>
      </c>
      <c r="G162" s="56">
        <v>7.6999999999999999E-2</v>
      </c>
      <c r="H162" s="56">
        <f t="shared" si="5"/>
        <v>0.314</v>
      </c>
      <c r="I162" s="56">
        <v>7.3999999999999996E-2</v>
      </c>
      <c r="J162" s="56">
        <v>0.24</v>
      </c>
    </row>
    <row r="163" spans="1:10" x14ac:dyDescent="0.2">
      <c r="A163" s="58" t="s">
        <v>605</v>
      </c>
      <c r="B163" s="58" t="s">
        <v>604</v>
      </c>
      <c r="C163" s="57" t="s">
        <v>603</v>
      </c>
      <c r="D163" s="56">
        <v>0.44</v>
      </c>
      <c r="E163" s="56">
        <v>4.9000000000000002E-2</v>
      </c>
      <c r="F163" s="56">
        <v>0</v>
      </c>
      <c r="G163" s="56">
        <v>7.6999999999999999E-2</v>
      </c>
      <c r="H163" s="56">
        <f t="shared" si="5"/>
        <v>0.314</v>
      </c>
      <c r="I163" s="56">
        <v>7.3999999999999996E-2</v>
      </c>
      <c r="J163" s="56">
        <v>0.24</v>
      </c>
    </row>
    <row r="164" spans="1:10" x14ac:dyDescent="0.2">
      <c r="A164" s="60"/>
      <c r="B164" s="60" t="s">
        <v>602</v>
      </c>
      <c r="C164" s="59" t="s">
        <v>601</v>
      </c>
      <c r="D164" s="56">
        <v>0.24</v>
      </c>
      <c r="E164" s="56">
        <v>4.9000000000000002E-2</v>
      </c>
      <c r="F164" s="56">
        <v>0</v>
      </c>
      <c r="G164" s="56">
        <v>4.3999999999999997E-2</v>
      </c>
      <c r="H164" s="56">
        <f t="shared" si="5"/>
        <v>0.14700000000000002</v>
      </c>
      <c r="I164" s="56">
        <v>2.9000000000000001E-2</v>
      </c>
      <c r="J164" s="56">
        <v>0.11700000000000001</v>
      </c>
    </row>
    <row r="165" spans="1:10" ht="25.5" x14ac:dyDescent="0.2">
      <c r="A165" s="58" t="s">
        <v>600</v>
      </c>
      <c r="B165" s="58" t="s">
        <v>599</v>
      </c>
      <c r="C165" s="57" t="s">
        <v>598</v>
      </c>
      <c r="D165" s="56">
        <v>0.24</v>
      </c>
      <c r="E165" s="56">
        <v>4.9000000000000002E-2</v>
      </c>
      <c r="F165" s="56">
        <v>0</v>
      </c>
      <c r="G165" s="56">
        <v>4.3999999999999997E-2</v>
      </c>
      <c r="H165" s="56">
        <f t="shared" si="5"/>
        <v>0.14700000000000002</v>
      </c>
      <c r="I165" s="56">
        <v>2.9000000000000001E-2</v>
      </c>
      <c r="J165" s="56">
        <v>0.11700000000000001</v>
      </c>
    </row>
    <row r="166" spans="1:10" x14ac:dyDescent="0.2">
      <c r="A166" s="60"/>
      <c r="B166" s="60" t="s">
        <v>597</v>
      </c>
      <c r="C166" s="59" t="s">
        <v>596</v>
      </c>
      <c r="D166" s="56">
        <v>0.24</v>
      </c>
      <c r="E166" s="56">
        <v>4.9000000000000002E-2</v>
      </c>
      <c r="F166" s="56">
        <v>0</v>
      </c>
      <c r="G166" s="56">
        <v>4.3999999999999997E-2</v>
      </c>
      <c r="H166" s="56">
        <f t="shared" si="5"/>
        <v>0.14700000000000002</v>
      </c>
      <c r="I166" s="56">
        <v>2.9000000000000001E-2</v>
      </c>
      <c r="J166" s="56">
        <v>0.11700000000000001</v>
      </c>
    </row>
    <row r="167" spans="1:10" x14ac:dyDescent="0.2">
      <c r="A167" s="58"/>
      <c r="B167" s="58" t="s">
        <v>595</v>
      </c>
      <c r="C167" s="57" t="s">
        <v>594</v>
      </c>
      <c r="D167" s="56">
        <v>0.24</v>
      </c>
      <c r="E167" s="56">
        <v>4.9000000000000002E-2</v>
      </c>
      <c r="F167" s="56">
        <v>0</v>
      </c>
      <c r="G167" s="56">
        <v>4.3999999999999997E-2</v>
      </c>
      <c r="H167" s="56">
        <f t="shared" si="5"/>
        <v>0.14700000000000002</v>
      </c>
      <c r="I167" s="56">
        <v>2.9000000000000001E-2</v>
      </c>
      <c r="J167" s="56">
        <v>0.11700000000000001</v>
      </c>
    </row>
    <row r="168" spans="1:10" x14ac:dyDescent="0.2">
      <c r="A168" s="60"/>
      <c r="B168" s="60" t="s">
        <v>593</v>
      </c>
      <c r="C168" s="59" t="s">
        <v>592</v>
      </c>
      <c r="D168" s="56">
        <v>0.24</v>
      </c>
      <c r="E168" s="56">
        <v>4.9000000000000002E-2</v>
      </c>
      <c r="F168" s="56">
        <v>0</v>
      </c>
      <c r="G168" s="56">
        <v>4.3999999999999997E-2</v>
      </c>
      <c r="H168" s="56">
        <f t="shared" si="5"/>
        <v>0.14700000000000002</v>
      </c>
      <c r="I168" s="56">
        <v>2.9000000000000001E-2</v>
      </c>
      <c r="J168" s="56">
        <v>0.11700000000000001</v>
      </c>
    </row>
    <row r="169" spans="1:10" x14ac:dyDescent="0.2">
      <c r="A169" s="58"/>
      <c r="B169" s="58" t="s">
        <v>591</v>
      </c>
      <c r="C169" s="57" t="s">
        <v>590</v>
      </c>
      <c r="D169" s="56">
        <v>0.24</v>
      </c>
      <c r="E169" s="56">
        <v>4.9000000000000002E-2</v>
      </c>
      <c r="F169" s="56">
        <v>0</v>
      </c>
      <c r="G169" s="56">
        <v>4.3999999999999997E-2</v>
      </c>
      <c r="H169" s="56">
        <f t="shared" ref="H169:H200" si="6">D169-E169-F169-G169</f>
        <v>0.14700000000000002</v>
      </c>
      <c r="I169" s="56">
        <v>2.9000000000000001E-2</v>
      </c>
      <c r="J169" s="56">
        <v>0.11700000000000001</v>
      </c>
    </row>
    <row r="170" spans="1:10" x14ac:dyDescent="0.2">
      <c r="A170" s="58" t="s">
        <v>589</v>
      </c>
      <c r="B170" s="58" t="s">
        <v>588</v>
      </c>
      <c r="C170" s="57" t="s">
        <v>587</v>
      </c>
      <c r="D170" s="56">
        <v>0.24</v>
      </c>
      <c r="E170" s="56">
        <v>4.9000000000000002E-2</v>
      </c>
      <c r="F170" s="56">
        <v>0</v>
      </c>
      <c r="G170" s="56">
        <v>4.3999999999999997E-2</v>
      </c>
      <c r="H170" s="56">
        <f t="shared" si="6"/>
        <v>0.14700000000000002</v>
      </c>
      <c r="I170" s="56">
        <v>2.9000000000000001E-2</v>
      </c>
      <c r="J170" s="56">
        <v>0.11700000000000001</v>
      </c>
    </row>
    <row r="171" spans="1:10" x14ac:dyDescent="0.2">
      <c r="A171" s="58" t="s">
        <v>586</v>
      </c>
      <c r="B171" s="58" t="s">
        <v>585</v>
      </c>
      <c r="C171" s="57" t="s">
        <v>584</v>
      </c>
      <c r="D171" s="56">
        <v>0.24</v>
      </c>
      <c r="E171" s="56">
        <v>4.9000000000000002E-2</v>
      </c>
      <c r="F171" s="56">
        <v>0</v>
      </c>
      <c r="G171" s="56">
        <v>4.3999999999999997E-2</v>
      </c>
      <c r="H171" s="56">
        <f t="shared" si="6"/>
        <v>0.14700000000000002</v>
      </c>
      <c r="I171" s="56">
        <v>2.9000000000000001E-2</v>
      </c>
      <c r="J171" s="56">
        <v>0.11700000000000001</v>
      </c>
    </row>
    <row r="172" spans="1:10" ht="25.5" x14ac:dyDescent="0.2">
      <c r="A172" s="58" t="s">
        <v>583</v>
      </c>
      <c r="B172" s="58" t="s">
        <v>582</v>
      </c>
      <c r="C172" s="57" t="s">
        <v>581</v>
      </c>
      <c r="D172" s="56">
        <v>0.24</v>
      </c>
      <c r="E172" s="56">
        <v>4.9000000000000002E-2</v>
      </c>
      <c r="F172" s="56">
        <v>0</v>
      </c>
      <c r="G172" s="56">
        <v>4.3999999999999997E-2</v>
      </c>
      <c r="H172" s="56">
        <f t="shared" si="6"/>
        <v>0.14700000000000002</v>
      </c>
      <c r="I172" s="56">
        <v>2.9000000000000001E-2</v>
      </c>
      <c r="J172" s="56">
        <v>0.11700000000000001</v>
      </c>
    </row>
    <row r="173" spans="1:10" x14ac:dyDescent="0.2">
      <c r="A173" s="58" t="s">
        <v>580</v>
      </c>
      <c r="B173" s="58" t="s">
        <v>579</v>
      </c>
      <c r="C173" s="57" t="s">
        <v>578</v>
      </c>
      <c r="D173" s="56">
        <v>0.24</v>
      </c>
      <c r="E173" s="56">
        <v>4.9000000000000002E-2</v>
      </c>
      <c r="F173" s="56">
        <v>0</v>
      </c>
      <c r="G173" s="56">
        <v>4.3999999999999997E-2</v>
      </c>
      <c r="H173" s="56">
        <f t="shared" si="6"/>
        <v>0.14700000000000002</v>
      </c>
      <c r="I173" s="56">
        <v>2.9000000000000001E-2</v>
      </c>
      <c r="J173" s="56">
        <v>0.11700000000000001</v>
      </c>
    </row>
    <row r="174" spans="1:10" x14ac:dyDescent="0.2">
      <c r="A174" s="58" t="s">
        <v>577</v>
      </c>
      <c r="B174" s="58" t="s">
        <v>576</v>
      </c>
      <c r="C174" s="57" t="s">
        <v>575</v>
      </c>
      <c r="D174" s="56">
        <v>0.24</v>
      </c>
      <c r="E174" s="56">
        <v>4.9000000000000002E-2</v>
      </c>
      <c r="F174" s="56">
        <v>0</v>
      </c>
      <c r="G174" s="56">
        <v>4.3999999999999997E-2</v>
      </c>
      <c r="H174" s="56">
        <f t="shared" si="6"/>
        <v>0.14700000000000002</v>
      </c>
      <c r="I174" s="56">
        <v>2.9000000000000001E-2</v>
      </c>
      <c r="J174" s="56">
        <v>0.11700000000000001</v>
      </c>
    </row>
    <row r="175" spans="1:10" x14ac:dyDescent="0.2">
      <c r="A175" s="58" t="s">
        <v>574</v>
      </c>
      <c r="B175" s="58" t="s">
        <v>573</v>
      </c>
      <c r="C175" s="57" t="s">
        <v>572</v>
      </c>
      <c r="D175" s="56">
        <v>0.24</v>
      </c>
      <c r="E175" s="56">
        <v>4.9000000000000002E-2</v>
      </c>
      <c r="F175" s="56">
        <v>0</v>
      </c>
      <c r="G175" s="56">
        <v>4.3999999999999997E-2</v>
      </c>
      <c r="H175" s="56">
        <f t="shared" si="6"/>
        <v>0.14700000000000002</v>
      </c>
      <c r="I175" s="56">
        <v>2.9000000000000001E-2</v>
      </c>
      <c r="J175" s="56">
        <v>0.11700000000000001</v>
      </c>
    </row>
    <row r="176" spans="1:10" x14ac:dyDescent="0.2">
      <c r="A176" s="58" t="s">
        <v>571</v>
      </c>
      <c r="B176" s="58" t="s">
        <v>570</v>
      </c>
      <c r="C176" s="57" t="s">
        <v>569</v>
      </c>
      <c r="D176" s="56">
        <v>0.24</v>
      </c>
      <c r="E176" s="56">
        <v>4.9000000000000002E-2</v>
      </c>
      <c r="F176" s="56">
        <v>0</v>
      </c>
      <c r="G176" s="56">
        <v>4.3999999999999997E-2</v>
      </c>
      <c r="H176" s="56">
        <f t="shared" si="6"/>
        <v>0.14700000000000002</v>
      </c>
      <c r="I176" s="56">
        <v>2.9000000000000001E-2</v>
      </c>
      <c r="J176" s="56">
        <v>0.11700000000000001</v>
      </c>
    </row>
    <row r="177" spans="1:10" x14ac:dyDescent="0.2">
      <c r="A177" s="58"/>
      <c r="B177" s="58" t="s">
        <v>568</v>
      </c>
      <c r="C177" s="57" t="s">
        <v>567</v>
      </c>
      <c r="D177" s="56">
        <v>0.24</v>
      </c>
      <c r="E177" s="56">
        <v>4.9000000000000002E-2</v>
      </c>
      <c r="F177" s="56">
        <v>0</v>
      </c>
      <c r="G177" s="56">
        <v>4.3999999999999997E-2</v>
      </c>
      <c r="H177" s="56">
        <f t="shared" si="6"/>
        <v>0.14700000000000002</v>
      </c>
      <c r="I177" s="56">
        <v>2.9000000000000001E-2</v>
      </c>
      <c r="J177" s="56">
        <v>0.11700000000000001</v>
      </c>
    </row>
    <row r="178" spans="1:10" x14ac:dyDescent="0.2">
      <c r="A178" s="58" t="s">
        <v>566</v>
      </c>
      <c r="B178" s="58" t="s">
        <v>565</v>
      </c>
      <c r="C178" s="57" t="s">
        <v>564</v>
      </c>
      <c r="D178" s="56">
        <v>0.24</v>
      </c>
      <c r="E178" s="56">
        <v>4.9000000000000002E-2</v>
      </c>
      <c r="F178" s="56">
        <v>0</v>
      </c>
      <c r="G178" s="56">
        <v>4.3999999999999997E-2</v>
      </c>
      <c r="H178" s="56">
        <f t="shared" si="6"/>
        <v>0.14700000000000002</v>
      </c>
      <c r="I178" s="56">
        <v>2.9000000000000001E-2</v>
      </c>
      <c r="J178" s="56">
        <v>0.11700000000000001</v>
      </c>
    </row>
    <row r="179" spans="1:10" x14ac:dyDescent="0.2">
      <c r="A179" s="58" t="s">
        <v>563</v>
      </c>
      <c r="B179" s="58" t="s">
        <v>562</v>
      </c>
      <c r="C179" s="57" t="s">
        <v>561</v>
      </c>
      <c r="D179" s="56">
        <v>0.24</v>
      </c>
      <c r="E179" s="56">
        <v>4.9000000000000002E-2</v>
      </c>
      <c r="F179" s="56">
        <v>0</v>
      </c>
      <c r="G179" s="56">
        <v>4.3999999999999997E-2</v>
      </c>
      <c r="H179" s="56">
        <f t="shared" si="6"/>
        <v>0.14700000000000002</v>
      </c>
      <c r="I179" s="56">
        <v>2.9000000000000001E-2</v>
      </c>
      <c r="J179" s="56">
        <v>0.11700000000000001</v>
      </c>
    </row>
    <row r="180" spans="1:10" x14ac:dyDescent="0.2">
      <c r="A180" s="58" t="s">
        <v>560</v>
      </c>
      <c r="B180" s="58" t="s">
        <v>559</v>
      </c>
      <c r="C180" s="57" t="s">
        <v>558</v>
      </c>
      <c r="D180" s="56">
        <v>0.24</v>
      </c>
      <c r="E180" s="56">
        <v>4.9000000000000002E-2</v>
      </c>
      <c r="F180" s="56">
        <v>0</v>
      </c>
      <c r="G180" s="56">
        <v>4.3999999999999997E-2</v>
      </c>
      <c r="H180" s="56">
        <f t="shared" si="6"/>
        <v>0.14700000000000002</v>
      </c>
      <c r="I180" s="56">
        <v>2.9000000000000001E-2</v>
      </c>
      <c r="J180" s="56">
        <v>0.11700000000000001</v>
      </c>
    </row>
    <row r="181" spans="1:10" x14ac:dyDescent="0.2">
      <c r="A181" s="58" t="s">
        <v>557</v>
      </c>
      <c r="B181" s="58" t="s">
        <v>556</v>
      </c>
      <c r="C181" s="57" t="s">
        <v>555</v>
      </c>
      <c r="D181" s="56">
        <v>0.24</v>
      </c>
      <c r="E181" s="56">
        <v>4.9000000000000002E-2</v>
      </c>
      <c r="F181" s="56">
        <v>0</v>
      </c>
      <c r="G181" s="56">
        <v>4.3999999999999997E-2</v>
      </c>
      <c r="H181" s="56">
        <f t="shared" si="6"/>
        <v>0.14700000000000002</v>
      </c>
      <c r="I181" s="56">
        <v>2.9000000000000001E-2</v>
      </c>
      <c r="J181" s="56">
        <v>0.11700000000000001</v>
      </c>
    </row>
    <row r="182" spans="1:10" x14ac:dyDescent="0.2">
      <c r="A182" s="58" t="s">
        <v>554</v>
      </c>
      <c r="B182" s="58" t="s">
        <v>553</v>
      </c>
      <c r="C182" s="57" t="s">
        <v>552</v>
      </c>
      <c r="D182" s="56">
        <v>0.24</v>
      </c>
      <c r="E182" s="56">
        <v>4.9000000000000002E-2</v>
      </c>
      <c r="F182" s="56">
        <v>0</v>
      </c>
      <c r="G182" s="56">
        <v>4.3999999999999997E-2</v>
      </c>
      <c r="H182" s="56">
        <f t="shared" si="6"/>
        <v>0.14700000000000002</v>
      </c>
      <c r="I182" s="56">
        <v>2.9000000000000001E-2</v>
      </c>
      <c r="J182" s="56">
        <v>0.11700000000000001</v>
      </c>
    </row>
    <row r="183" spans="1:10" x14ac:dyDescent="0.2">
      <c r="A183" s="58" t="s">
        <v>551</v>
      </c>
      <c r="B183" s="58" t="s">
        <v>550</v>
      </c>
      <c r="C183" s="57" t="s">
        <v>549</v>
      </c>
      <c r="D183" s="56">
        <v>0.24</v>
      </c>
      <c r="E183" s="56">
        <v>4.9000000000000002E-2</v>
      </c>
      <c r="F183" s="56">
        <v>0</v>
      </c>
      <c r="G183" s="56">
        <v>4.3999999999999997E-2</v>
      </c>
      <c r="H183" s="56">
        <f t="shared" si="6"/>
        <v>0.14700000000000002</v>
      </c>
      <c r="I183" s="56">
        <v>2.9000000000000001E-2</v>
      </c>
      <c r="J183" s="56">
        <v>0.11700000000000001</v>
      </c>
    </row>
    <row r="184" spans="1:10" x14ac:dyDescent="0.2">
      <c r="A184" s="58" t="s">
        <v>548</v>
      </c>
      <c r="B184" s="58" t="s">
        <v>547</v>
      </c>
      <c r="C184" s="57" t="s">
        <v>546</v>
      </c>
      <c r="D184" s="56">
        <v>0.24</v>
      </c>
      <c r="E184" s="56">
        <v>4.9000000000000002E-2</v>
      </c>
      <c r="F184" s="56">
        <v>0</v>
      </c>
      <c r="G184" s="56">
        <v>4.3999999999999997E-2</v>
      </c>
      <c r="H184" s="56">
        <f t="shared" si="6"/>
        <v>0.14700000000000002</v>
      </c>
      <c r="I184" s="56">
        <v>2.9000000000000001E-2</v>
      </c>
      <c r="J184" s="56">
        <v>0.11700000000000001</v>
      </c>
    </row>
    <row r="185" spans="1:10" x14ac:dyDescent="0.2">
      <c r="A185" s="58" t="s">
        <v>545</v>
      </c>
      <c r="B185" s="58" t="s">
        <v>544</v>
      </c>
      <c r="C185" s="57" t="s">
        <v>543</v>
      </c>
      <c r="D185" s="56">
        <v>0.24</v>
      </c>
      <c r="E185" s="56">
        <v>4.9000000000000002E-2</v>
      </c>
      <c r="F185" s="56">
        <v>0</v>
      </c>
      <c r="G185" s="56">
        <v>4.3999999999999997E-2</v>
      </c>
      <c r="H185" s="56">
        <f t="shared" si="6"/>
        <v>0.14700000000000002</v>
      </c>
      <c r="I185" s="56">
        <v>2.9000000000000001E-2</v>
      </c>
      <c r="J185" s="56">
        <v>0.11700000000000001</v>
      </c>
    </row>
    <row r="186" spans="1:10" x14ac:dyDescent="0.2">
      <c r="A186" s="58" t="s">
        <v>542</v>
      </c>
      <c r="B186" s="58" t="s">
        <v>541</v>
      </c>
      <c r="C186" s="57" t="s">
        <v>540</v>
      </c>
      <c r="D186" s="56">
        <v>0.24</v>
      </c>
      <c r="E186" s="56">
        <v>4.9000000000000002E-2</v>
      </c>
      <c r="F186" s="56">
        <v>0</v>
      </c>
      <c r="G186" s="56">
        <v>4.3999999999999997E-2</v>
      </c>
      <c r="H186" s="56">
        <f t="shared" si="6"/>
        <v>0.14700000000000002</v>
      </c>
      <c r="I186" s="56">
        <v>2.9000000000000001E-2</v>
      </c>
      <c r="J186" s="56">
        <v>0.11700000000000001</v>
      </c>
    </row>
    <row r="187" spans="1:10" x14ac:dyDescent="0.2">
      <c r="A187" s="58" t="s">
        <v>539</v>
      </c>
      <c r="B187" s="58" t="s">
        <v>538</v>
      </c>
      <c r="C187" s="57" t="s">
        <v>537</v>
      </c>
      <c r="D187" s="56">
        <v>0.24</v>
      </c>
      <c r="E187" s="56">
        <v>4.9000000000000002E-2</v>
      </c>
      <c r="F187" s="56">
        <v>0</v>
      </c>
      <c r="G187" s="56">
        <v>4.3999999999999997E-2</v>
      </c>
      <c r="H187" s="56">
        <f t="shared" si="6"/>
        <v>0.14700000000000002</v>
      </c>
      <c r="I187" s="56">
        <v>2.9000000000000001E-2</v>
      </c>
      <c r="J187" s="56">
        <v>0.11700000000000001</v>
      </c>
    </row>
    <row r="188" spans="1:10" x14ac:dyDescent="0.2">
      <c r="A188" s="58" t="s">
        <v>536</v>
      </c>
      <c r="B188" s="58" t="s">
        <v>535</v>
      </c>
      <c r="C188" s="57" t="s">
        <v>534</v>
      </c>
      <c r="D188" s="56">
        <v>0.24</v>
      </c>
      <c r="E188" s="56">
        <v>4.9000000000000002E-2</v>
      </c>
      <c r="F188" s="56">
        <v>0</v>
      </c>
      <c r="G188" s="56">
        <v>4.3999999999999997E-2</v>
      </c>
      <c r="H188" s="56">
        <f t="shared" si="6"/>
        <v>0.14700000000000002</v>
      </c>
      <c r="I188" s="56">
        <v>2.9000000000000001E-2</v>
      </c>
      <c r="J188" s="56">
        <v>0.11700000000000001</v>
      </c>
    </row>
    <row r="189" spans="1:10" x14ac:dyDescent="0.2">
      <c r="A189" s="58" t="s">
        <v>533</v>
      </c>
      <c r="B189" s="58" t="s">
        <v>532</v>
      </c>
      <c r="C189" s="57" t="s">
        <v>531</v>
      </c>
      <c r="D189" s="56">
        <v>0.24</v>
      </c>
      <c r="E189" s="56">
        <v>4.9000000000000002E-2</v>
      </c>
      <c r="F189" s="56">
        <v>0</v>
      </c>
      <c r="G189" s="56">
        <v>4.3999999999999997E-2</v>
      </c>
      <c r="H189" s="56">
        <f t="shared" si="6"/>
        <v>0.14700000000000002</v>
      </c>
      <c r="I189" s="56">
        <v>2.9000000000000001E-2</v>
      </c>
      <c r="J189" s="56">
        <v>0.11700000000000001</v>
      </c>
    </row>
    <row r="190" spans="1:10" x14ac:dyDescent="0.2">
      <c r="A190" s="58"/>
      <c r="B190" s="58" t="s">
        <v>530</v>
      </c>
      <c r="C190" s="57" t="s">
        <v>529</v>
      </c>
      <c r="D190" s="56">
        <v>0.24</v>
      </c>
      <c r="E190" s="56">
        <v>4.9000000000000002E-2</v>
      </c>
      <c r="F190" s="56">
        <v>0</v>
      </c>
      <c r="G190" s="56">
        <v>4.3999999999999997E-2</v>
      </c>
      <c r="H190" s="56">
        <f t="shared" si="6"/>
        <v>0.14700000000000002</v>
      </c>
      <c r="I190" s="56">
        <v>2.9000000000000001E-2</v>
      </c>
      <c r="J190" s="56">
        <v>0.11700000000000001</v>
      </c>
    </row>
    <row r="191" spans="1:10" x14ac:dyDescent="0.2">
      <c r="A191" s="58" t="s">
        <v>515</v>
      </c>
      <c r="B191" s="58" t="s">
        <v>528</v>
      </c>
      <c r="C191" s="57" t="s">
        <v>513</v>
      </c>
      <c r="D191" s="56">
        <v>0.24</v>
      </c>
      <c r="E191" s="56">
        <v>4.9000000000000002E-2</v>
      </c>
      <c r="F191" s="56">
        <v>0</v>
      </c>
      <c r="G191" s="56">
        <v>4.3999999999999997E-2</v>
      </c>
      <c r="H191" s="56">
        <f t="shared" si="6"/>
        <v>0.14700000000000002</v>
      </c>
      <c r="I191" s="56">
        <v>2.9000000000000001E-2</v>
      </c>
      <c r="J191" s="56">
        <v>0.11700000000000001</v>
      </c>
    </row>
    <row r="192" spans="1:10" ht="38.25" x14ac:dyDescent="0.2">
      <c r="A192" s="58" t="s">
        <v>527</v>
      </c>
      <c r="B192" s="58" t="s">
        <v>526</v>
      </c>
      <c r="C192" s="57" t="s">
        <v>525</v>
      </c>
      <c r="D192" s="56">
        <v>0.24</v>
      </c>
      <c r="E192" s="56">
        <v>4.9000000000000002E-2</v>
      </c>
      <c r="F192" s="56">
        <v>0</v>
      </c>
      <c r="G192" s="56">
        <v>4.3999999999999997E-2</v>
      </c>
      <c r="H192" s="56">
        <f t="shared" si="6"/>
        <v>0.14700000000000002</v>
      </c>
      <c r="I192" s="56">
        <v>2.9000000000000001E-2</v>
      </c>
      <c r="J192" s="56">
        <v>0.11700000000000001</v>
      </c>
    </row>
    <row r="193" spans="1:10" ht="63.75" x14ac:dyDescent="0.2">
      <c r="A193" s="58" t="s">
        <v>524</v>
      </c>
      <c r="B193" s="58" t="s">
        <v>523</v>
      </c>
      <c r="C193" s="57" t="s">
        <v>522</v>
      </c>
      <c r="D193" s="56">
        <v>0.24</v>
      </c>
      <c r="E193" s="56">
        <v>4.9000000000000002E-2</v>
      </c>
      <c r="F193" s="56">
        <v>0</v>
      </c>
      <c r="G193" s="56">
        <v>4.3999999999999997E-2</v>
      </c>
      <c r="H193" s="56">
        <f t="shared" si="6"/>
        <v>0.14700000000000002</v>
      </c>
      <c r="I193" s="56">
        <v>2.9000000000000001E-2</v>
      </c>
      <c r="J193" s="56">
        <v>0.11700000000000001</v>
      </c>
    </row>
    <row r="194" spans="1:10" ht="25.5" x14ac:dyDescent="0.2">
      <c r="A194" s="58" t="s">
        <v>521</v>
      </c>
      <c r="B194" s="58" t="s">
        <v>520</v>
      </c>
      <c r="C194" s="57" t="s">
        <v>519</v>
      </c>
      <c r="D194" s="56">
        <v>0.24</v>
      </c>
      <c r="E194" s="56">
        <v>4.9000000000000002E-2</v>
      </c>
      <c r="F194" s="56">
        <v>0</v>
      </c>
      <c r="G194" s="56">
        <v>4.3999999999999997E-2</v>
      </c>
      <c r="H194" s="56">
        <f t="shared" si="6"/>
        <v>0.14700000000000002</v>
      </c>
      <c r="I194" s="56">
        <v>2.9000000000000001E-2</v>
      </c>
      <c r="J194" s="56">
        <v>0.11700000000000001</v>
      </c>
    </row>
    <row r="195" spans="1:10" x14ac:dyDescent="0.2">
      <c r="A195" s="58" t="s">
        <v>518</v>
      </c>
      <c r="B195" s="58" t="s">
        <v>517</v>
      </c>
      <c r="C195" s="57" t="s">
        <v>516</v>
      </c>
      <c r="D195" s="56">
        <v>0.24</v>
      </c>
      <c r="E195" s="56">
        <v>4.9000000000000002E-2</v>
      </c>
      <c r="F195" s="56">
        <v>0</v>
      </c>
      <c r="G195" s="56">
        <v>4.3999999999999997E-2</v>
      </c>
      <c r="H195" s="56">
        <f t="shared" si="6"/>
        <v>0.14700000000000002</v>
      </c>
      <c r="I195" s="56">
        <v>2.9000000000000001E-2</v>
      </c>
      <c r="J195" s="56">
        <v>0.11700000000000001</v>
      </c>
    </row>
    <row r="196" spans="1:10" x14ac:dyDescent="0.2">
      <c r="A196" s="58" t="s">
        <v>515</v>
      </c>
      <c r="B196" s="58" t="s">
        <v>514</v>
      </c>
      <c r="C196" s="57" t="s">
        <v>513</v>
      </c>
      <c r="D196" s="56">
        <v>0.24</v>
      </c>
      <c r="E196" s="56">
        <v>4.9000000000000002E-2</v>
      </c>
      <c r="F196" s="56">
        <v>0</v>
      </c>
      <c r="G196" s="56">
        <v>4.3999999999999997E-2</v>
      </c>
      <c r="H196" s="56">
        <f t="shared" si="6"/>
        <v>0.14700000000000002</v>
      </c>
      <c r="I196" s="56">
        <v>2.9000000000000001E-2</v>
      </c>
      <c r="J196" s="56">
        <v>0.11700000000000001</v>
      </c>
    </row>
    <row r="197" spans="1:10" x14ac:dyDescent="0.2">
      <c r="A197" s="60"/>
      <c r="B197" s="60" t="s">
        <v>512</v>
      </c>
      <c r="C197" s="59" t="s">
        <v>511</v>
      </c>
      <c r="D197" s="56">
        <v>0.24</v>
      </c>
      <c r="E197" s="56">
        <v>4.9000000000000002E-2</v>
      </c>
      <c r="F197" s="56">
        <v>0</v>
      </c>
      <c r="G197" s="56">
        <v>4.3999999999999997E-2</v>
      </c>
      <c r="H197" s="56">
        <f t="shared" si="6"/>
        <v>0.14700000000000002</v>
      </c>
      <c r="I197" s="56">
        <v>2.9000000000000001E-2</v>
      </c>
      <c r="J197" s="56">
        <v>0.11700000000000001</v>
      </c>
    </row>
    <row r="198" spans="1:10" x14ac:dyDescent="0.2">
      <c r="A198" s="58"/>
      <c r="B198" s="58" t="s">
        <v>510</v>
      </c>
      <c r="C198" s="57" t="s">
        <v>509</v>
      </c>
      <c r="D198" s="56">
        <v>0.24</v>
      </c>
      <c r="E198" s="56">
        <v>4.9000000000000002E-2</v>
      </c>
      <c r="F198" s="56">
        <v>0</v>
      </c>
      <c r="G198" s="56">
        <v>4.3999999999999997E-2</v>
      </c>
      <c r="H198" s="56">
        <f t="shared" si="6"/>
        <v>0.14700000000000002</v>
      </c>
      <c r="I198" s="56">
        <v>2.9000000000000001E-2</v>
      </c>
      <c r="J198" s="56">
        <v>0.11700000000000001</v>
      </c>
    </row>
    <row r="199" spans="1:10" x14ac:dyDescent="0.2">
      <c r="A199" s="58" t="s">
        <v>508</v>
      </c>
      <c r="B199" s="58" t="s">
        <v>507</v>
      </c>
      <c r="C199" s="57" t="s">
        <v>506</v>
      </c>
      <c r="D199" s="56">
        <v>0.24</v>
      </c>
      <c r="E199" s="56">
        <v>4.9000000000000002E-2</v>
      </c>
      <c r="F199" s="56">
        <v>0</v>
      </c>
      <c r="G199" s="56">
        <v>4.3999999999999997E-2</v>
      </c>
      <c r="H199" s="56">
        <f t="shared" si="6"/>
        <v>0.14700000000000002</v>
      </c>
      <c r="I199" s="56">
        <v>2.9000000000000001E-2</v>
      </c>
      <c r="J199" s="56">
        <v>0.11700000000000001</v>
      </c>
    </row>
    <row r="200" spans="1:10" ht="25.5" x14ac:dyDescent="0.2">
      <c r="A200" s="58" t="s">
        <v>505</v>
      </c>
      <c r="B200" s="58" t="s">
        <v>504</v>
      </c>
      <c r="C200" s="57" t="s">
        <v>503</v>
      </c>
      <c r="D200" s="56">
        <v>0.24</v>
      </c>
      <c r="E200" s="56">
        <v>4.9000000000000002E-2</v>
      </c>
      <c r="F200" s="56">
        <v>0</v>
      </c>
      <c r="G200" s="56">
        <v>4.3999999999999997E-2</v>
      </c>
      <c r="H200" s="56">
        <f t="shared" si="6"/>
        <v>0.14700000000000002</v>
      </c>
      <c r="I200" s="56">
        <v>2.9000000000000001E-2</v>
      </c>
      <c r="J200" s="56">
        <v>0.11700000000000001</v>
      </c>
    </row>
    <row r="201" spans="1:10" x14ac:dyDescent="0.2">
      <c r="A201" s="58" t="s">
        <v>502</v>
      </c>
      <c r="B201" s="58" t="s">
        <v>501</v>
      </c>
      <c r="C201" s="57" t="s">
        <v>500</v>
      </c>
      <c r="D201" s="56">
        <v>0.24</v>
      </c>
      <c r="E201" s="56">
        <v>4.9000000000000002E-2</v>
      </c>
      <c r="F201" s="56">
        <v>0</v>
      </c>
      <c r="G201" s="56">
        <v>4.3999999999999997E-2</v>
      </c>
      <c r="H201" s="56">
        <f t="shared" ref="H201:H232" si="7">D201-E201-F201-G201</f>
        <v>0.14700000000000002</v>
      </c>
      <c r="I201" s="56">
        <v>2.9000000000000001E-2</v>
      </c>
      <c r="J201" s="56">
        <v>0.11700000000000001</v>
      </c>
    </row>
    <row r="202" spans="1:10" x14ac:dyDescent="0.2">
      <c r="A202" s="58" t="s">
        <v>499</v>
      </c>
      <c r="B202" s="58" t="s">
        <v>498</v>
      </c>
      <c r="C202" s="57" t="s">
        <v>497</v>
      </c>
      <c r="D202" s="56">
        <v>0.24</v>
      </c>
      <c r="E202" s="56">
        <v>4.9000000000000002E-2</v>
      </c>
      <c r="F202" s="56">
        <v>0</v>
      </c>
      <c r="G202" s="56">
        <v>4.3999999999999997E-2</v>
      </c>
      <c r="H202" s="56">
        <f t="shared" si="7"/>
        <v>0.14700000000000002</v>
      </c>
      <c r="I202" s="56">
        <v>2.9000000000000001E-2</v>
      </c>
      <c r="J202" s="56">
        <v>0.11700000000000001</v>
      </c>
    </row>
    <row r="203" spans="1:10" x14ac:dyDescent="0.2">
      <c r="A203" s="58" t="s">
        <v>496</v>
      </c>
      <c r="B203" s="58" t="s">
        <v>495</v>
      </c>
      <c r="C203" s="57" t="s">
        <v>494</v>
      </c>
      <c r="D203" s="56">
        <v>0.24</v>
      </c>
      <c r="E203" s="56">
        <v>4.9000000000000002E-2</v>
      </c>
      <c r="F203" s="56">
        <v>0</v>
      </c>
      <c r="G203" s="56">
        <v>4.3999999999999997E-2</v>
      </c>
      <c r="H203" s="56">
        <f t="shared" si="7"/>
        <v>0.14700000000000002</v>
      </c>
      <c r="I203" s="56">
        <v>2.9000000000000001E-2</v>
      </c>
      <c r="J203" s="56">
        <v>0.11700000000000001</v>
      </c>
    </row>
    <row r="204" spans="1:10" ht="25.5" x14ac:dyDescent="0.2">
      <c r="A204" s="58" t="s">
        <v>493</v>
      </c>
      <c r="B204" s="58" t="s">
        <v>492</v>
      </c>
      <c r="C204" s="57" t="s">
        <v>491</v>
      </c>
      <c r="D204" s="56">
        <v>0.24</v>
      </c>
      <c r="E204" s="56">
        <v>4.9000000000000002E-2</v>
      </c>
      <c r="F204" s="56">
        <v>0</v>
      </c>
      <c r="G204" s="56">
        <v>4.3999999999999997E-2</v>
      </c>
      <c r="H204" s="56">
        <f t="shared" si="7"/>
        <v>0.14700000000000002</v>
      </c>
      <c r="I204" s="56">
        <v>2.9000000000000001E-2</v>
      </c>
      <c r="J204" s="56">
        <v>0.11700000000000001</v>
      </c>
    </row>
    <row r="205" spans="1:10" x14ac:dyDescent="0.2">
      <c r="A205" s="58" t="s">
        <v>490</v>
      </c>
      <c r="B205" s="58" t="s">
        <v>489</v>
      </c>
      <c r="C205" s="57" t="s">
        <v>488</v>
      </c>
      <c r="D205" s="56">
        <v>0.24</v>
      </c>
      <c r="E205" s="56">
        <v>4.9000000000000002E-2</v>
      </c>
      <c r="F205" s="56">
        <v>0</v>
      </c>
      <c r="G205" s="56">
        <v>4.3999999999999997E-2</v>
      </c>
      <c r="H205" s="56">
        <f t="shared" si="7"/>
        <v>0.14700000000000002</v>
      </c>
      <c r="I205" s="56">
        <v>2.9000000000000001E-2</v>
      </c>
      <c r="J205" s="56">
        <v>0.11700000000000001</v>
      </c>
    </row>
    <row r="206" spans="1:10" x14ac:dyDescent="0.2">
      <c r="A206" s="58" t="s">
        <v>487</v>
      </c>
      <c r="B206" s="58" t="s">
        <v>486</v>
      </c>
      <c r="C206" s="57" t="s">
        <v>485</v>
      </c>
      <c r="D206" s="56">
        <v>0.24</v>
      </c>
      <c r="E206" s="56">
        <v>4.9000000000000002E-2</v>
      </c>
      <c r="F206" s="56">
        <v>0</v>
      </c>
      <c r="G206" s="56">
        <v>4.3999999999999997E-2</v>
      </c>
      <c r="H206" s="56">
        <f t="shared" si="7"/>
        <v>0.14700000000000002</v>
      </c>
      <c r="I206" s="56">
        <v>2.9000000000000001E-2</v>
      </c>
      <c r="J206" s="56">
        <v>0.11700000000000001</v>
      </c>
    </row>
    <row r="207" spans="1:10" x14ac:dyDescent="0.2">
      <c r="A207" s="58" t="s">
        <v>484</v>
      </c>
      <c r="B207" s="58" t="s">
        <v>483</v>
      </c>
      <c r="C207" s="57" t="s">
        <v>482</v>
      </c>
      <c r="D207" s="56">
        <v>0.24</v>
      </c>
      <c r="E207" s="56">
        <v>4.9000000000000002E-2</v>
      </c>
      <c r="F207" s="56">
        <v>0</v>
      </c>
      <c r="G207" s="56">
        <v>4.3999999999999997E-2</v>
      </c>
      <c r="H207" s="56">
        <f t="shared" si="7"/>
        <v>0.14700000000000002</v>
      </c>
      <c r="I207" s="56">
        <v>2.9000000000000001E-2</v>
      </c>
      <c r="J207" s="56">
        <v>0.11700000000000001</v>
      </c>
    </row>
    <row r="208" spans="1:10" x14ac:dyDescent="0.2">
      <c r="A208" s="58" t="s">
        <v>481</v>
      </c>
      <c r="B208" s="58" t="s">
        <v>480</v>
      </c>
      <c r="C208" s="57" t="s">
        <v>479</v>
      </c>
      <c r="D208" s="56">
        <v>0.24</v>
      </c>
      <c r="E208" s="56">
        <v>4.9000000000000002E-2</v>
      </c>
      <c r="F208" s="56">
        <v>0</v>
      </c>
      <c r="G208" s="56">
        <v>4.3999999999999997E-2</v>
      </c>
      <c r="H208" s="56">
        <f t="shared" si="7"/>
        <v>0.14700000000000002</v>
      </c>
      <c r="I208" s="56">
        <v>2.9000000000000001E-2</v>
      </c>
      <c r="J208" s="56">
        <v>0.11700000000000001</v>
      </c>
    </row>
    <row r="209" spans="1:10" x14ac:dyDescent="0.2">
      <c r="A209" s="58" t="s">
        <v>478</v>
      </c>
      <c r="B209" s="58" t="s">
        <v>477</v>
      </c>
      <c r="C209" s="57" t="s">
        <v>476</v>
      </c>
      <c r="D209" s="56">
        <v>0.24</v>
      </c>
      <c r="E209" s="56">
        <v>4.9000000000000002E-2</v>
      </c>
      <c r="F209" s="56">
        <v>0</v>
      </c>
      <c r="G209" s="56">
        <v>4.3999999999999997E-2</v>
      </c>
      <c r="H209" s="56">
        <f t="shared" si="7"/>
        <v>0.14700000000000002</v>
      </c>
      <c r="I209" s="56">
        <v>2.9000000000000001E-2</v>
      </c>
      <c r="J209" s="56">
        <v>0.11700000000000001</v>
      </c>
    </row>
    <row r="210" spans="1:10" x14ac:dyDescent="0.2">
      <c r="A210" s="58"/>
      <c r="B210" s="58" t="s">
        <v>475</v>
      </c>
      <c r="C210" s="57" t="s">
        <v>474</v>
      </c>
      <c r="D210" s="56">
        <v>0.24</v>
      </c>
      <c r="E210" s="56">
        <v>4.9000000000000002E-2</v>
      </c>
      <c r="F210" s="56">
        <v>0</v>
      </c>
      <c r="G210" s="56">
        <v>4.3999999999999997E-2</v>
      </c>
      <c r="H210" s="56">
        <f t="shared" si="7"/>
        <v>0.14700000000000002</v>
      </c>
      <c r="I210" s="56">
        <v>2.9000000000000001E-2</v>
      </c>
      <c r="J210" s="56">
        <v>0.11700000000000001</v>
      </c>
    </row>
    <row r="211" spans="1:10" x14ac:dyDescent="0.2">
      <c r="A211" s="58"/>
      <c r="B211" s="58" t="s">
        <v>473</v>
      </c>
      <c r="C211" s="57" t="s">
        <v>472</v>
      </c>
      <c r="D211" s="56">
        <v>0.24</v>
      </c>
      <c r="E211" s="56">
        <v>4.9000000000000002E-2</v>
      </c>
      <c r="F211" s="56">
        <v>0</v>
      </c>
      <c r="G211" s="56">
        <v>4.3999999999999997E-2</v>
      </c>
      <c r="H211" s="56">
        <f t="shared" si="7"/>
        <v>0.14700000000000002</v>
      </c>
      <c r="I211" s="56">
        <v>2.9000000000000001E-2</v>
      </c>
      <c r="J211" s="56">
        <v>0.11700000000000001</v>
      </c>
    </row>
    <row r="212" spans="1:10" x14ac:dyDescent="0.2">
      <c r="A212" s="58" t="s">
        <v>471</v>
      </c>
      <c r="B212" s="58" t="s">
        <v>470</v>
      </c>
      <c r="C212" s="57" t="s">
        <v>469</v>
      </c>
      <c r="D212" s="56">
        <v>0.24</v>
      </c>
      <c r="E212" s="56">
        <v>4.9000000000000002E-2</v>
      </c>
      <c r="F212" s="56">
        <v>0</v>
      </c>
      <c r="G212" s="56">
        <v>4.3999999999999997E-2</v>
      </c>
      <c r="H212" s="56">
        <f t="shared" si="7"/>
        <v>0.14700000000000002</v>
      </c>
      <c r="I212" s="56">
        <v>2.9000000000000001E-2</v>
      </c>
      <c r="J212" s="56">
        <v>0.11700000000000001</v>
      </c>
    </row>
    <row r="213" spans="1:10" x14ac:dyDescent="0.2">
      <c r="A213" s="60"/>
      <c r="B213" s="60" t="s">
        <v>468</v>
      </c>
      <c r="C213" s="59" t="s">
        <v>467</v>
      </c>
      <c r="D213" s="56">
        <v>0.24</v>
      </c>
      <c r="E213" s="56">
        <v>4.9000000000000002E-2</v>
      </c>
      <c r="F213" s="56">
        <v>0</v>
      </c>
      <c r="G213" s="56">
        <v>4.3999999999999997E-2</v>
      </c>
      <c r="H213" s="56">
        <f t="shared" si="7"/>
        <v>0.14700000000000002</v>
      </c>
      <c r="I213" s="56">
        <v>2.9000000000000001E-2</v>
      </c>
      <c r="J213" s="56">
        <v>0.11700000000000001</v>
      </c>
    </row>
    <row r="214" spans="1:10" x14ac:dyDescent="0.2">
      <c r="A214" s="58"/>
      <c r="B214" s="58" t="s">
        <v>466</v>
      </c>
      <c r="C214" s="57" t="s">
        <v>465</v>
      </c>
      <c r="D214" s="56">
        <v>0.24</v>
      </c>
      <c r="E214" s="56">
        <v>4.9000000000000002E-2</v>
      </c>
      <c r="F214" s="56">
        <v>0</v>
      </c>
      <c r="G214" s="56">
        <v>4.3999999999999997E-2</v>
      </c>
      <c r="H214" s="56">
        <f t="shared" si="7"/>
        <v>0.14700000000000002</v>
      </c>
      <c r="I214" s="56">
        <v>2.9000000000000001E-2</v>
      </c>
      <c r="J214" s="56">
        <v>0.11700000000000001</v>
      </c>
    </row>
    <row r="215" spans="1:10" x14ac:dyDescent="0.2">
      <c r="A215" s="64"/>
      <c r="B215" s="64" t="s">
        <v>464</v>
      </c>
      <c r="C215" s="63" t="s">
        <v>463</v>
      </c>
      <c r="D215" s="56">
        <v>0.24</v>
      </c>
      <c r="E215" s="56">
        <v>4.9000000000000002E-2</v>
      </c>
      <c r="F215" s="56">
        <v>0</v>
      </c>
      <c r="G215" s="56">
        <v>4.3999999999999997E-2</v>
      </c>
      <c r="H215" s="56">
        <f t="shared" si="7"/>
        <v>0.14700000000000002</v>
      </c>
      <c r="I215" s="56">
        <v>2.9000000000000001E-2</v>
      </c>
      <c r="J215" s="56">
        <v>0.11700000000000001</v>
      </c>
    </row>
    <row r="216" spans="1:10" x14ac:dyDescent="0.2">
      <c r="A216" s="62"/>
      <c r="B216" s="62" t="s">
        <v>462</v>
      </c>
      <c r="C216" s="61" t="s">
        <v>461</v>
      </c>
      <c r="D216" s="56">
        <v>0.24</v>
      </c>
      <c r="E216" s="56">
        <v>4.9000000000000002E-2</v>
      </c>
      <c r="F216" s="56">
        <v>0</v>
      </c>
      <c r="G216" s="56">
        <v>4.3999999999999997E-2</v>
      </c>
      <c r="H216" s="56">
        <f t="shared" si="7"/>
        <v>0.14700000000000002</v>
      </c>
      <c r="I216" s="56">
        <v>2.9000000000000001E-2</v>
      </c>
      <c r="J216" s="56">
        <v>0.11700000000000001</v>
      </c>
    </row>
    <row r="217" spans="1:10" x14ac:dyDescent="0.2">
      <c r="A217" s="60"/>
      <c r="B217" s="60" t="s">
        <v>460</v>
      </c>
      <c r="C217" s="59" t="s">
        <v>459</v>
      </c>
      <c r="D217" s="56">
        <v>0.24</v>
      </c>
      <c r="E217" s="56">
        <v>4.9000000000000002E-2</v>
      </c>
      <c r="F217" s="56">
        <v>0</v>
      </c>
      <c r="G217" s="56">
        <v>4.3999999999999997E-2</v>
      </c>
      <c r="H217" s="56">
        <f t="shared" si="7"/>
        <v>0.14700000000000002</v>
      </c>
      <c r="I217" s="56">
        <v>2.9000000000000001E-2</v>
      </c>
      <c r="J217" s="56">
        <v>0.11700000000000001</v>
      </c>
    </row>
    <row r="218" spans="1:10" x14ac:dyDescent="0.2">
      <c r="A218" s="58"/>
      <c r="B218" s="58" t="s">
        <v>299</v>
      </c>
      <c r="C218" s="57" t="s">
        <v>458</v>
      </c>
      <c r="D218" s="56">
        <v>0.24</v>
      </c>
      <c r="E218" s="56">
        <v>4.9000000000000002E-2</v>
      </c>
      <c r="F218" s="56">
        <v>0</v>
      </c>
      <c r="G218" s="56">
        <v>4.3999999999999997E-2</v>
      </c>
      <c r="H218" s="56">
        <f t="shared" si="7"/>
        <v>0.14700000000000002</v>
      </c>
      <c r="I218" s="56">
        <v>2.9000000000000001E-2</v>
      </c>
      <c r="J218" s="56">
        <v>0.11700000000000001</v>
      </c>
    </row>
    <row r="219" spans="1:10" ht="25.5" x14ac:dyDescent="0.2">
      <c r="A219" s="58" t="s">
        <v>304</v>
      </c>
      <c r="B219" s="58" t="s">
        <v>457</v>
      </c>
      <c r="C219" s="57" t="s">
        <v>456</v>
      </c>
      <c r="D219" s="56">
        <v>0.24</v>
      </c>
      <c r="E219" s="56">
        <v>4.9000000000000002E-2</v>
      </c>
      <c r="F219" s="56">
        <v>0</v>
      </c>
      <c r="G219" s="56">
        <v>4.3999999999999997E-2</v>
      </c>
      <c r="H219" s="56">
        <f t="shared" si="7"/>
        <v>0.14700000000000002</v>
      </c>
      <c r="I219" s="56">
        <v>2.9000000000000001E-2</v>
      </c>
      <c r="J219" s="56">
        <v>0.11700000000000001</v>
      </c>
    </row>
    <row r="220" spans="1:10" ht="25.5" x14ac:dyDescent="0.2">
      <c r="A220" s="58" t="s">
        <v>455</v>
      </c>
      <c r="B220" s="58" t="s">
        <v>454</v>
      </c>
      <c r="C220" s="57" t="s">
        <v>453</v>
      </c>
      <c r="D220" s="56">
        <v>0.24</v>
      </c>
      <c r="E220" s="56">
        <v>4.9000000000000002E-2</v>
      </c>
      <c r="F220" s="56">
        <v>0</v>
      </c>
      <c r="G220" s="56">
        <v>4.3999999999999997E-2</v>
      </c>
      <c r="H220" s="56">
        <f t="shared" si="7"/>
        <v>0.14700000000000002</v>
      </c>
      <c r="I220" s="56">
        <v>2.9000000000000001E-2</v>
      </c>
      <c r="J220" s="56">
        <v>0.11700000000000001</v>
      </c>
    </row>
    <row r="221" spans="1:10" x14ac:dyDescent="0.2">
      <c r="A221" s="58" t="s">
        <v>452</v>
      </c>
      <c r="B221" s="58" t="s">
        <v>451</v>
      </c>
      <c r="C221" s="57" t="s">
        <v>450</v>
      </c>
      <c r="D221" s="56">
        <v>0.24</v>
      </c>
      <c r="E221" s="56">
        <v>4.9000000000000002E-2</v>
      </c>
      <c r="F221" s="56">
        <v>0</v>
      </c>
      <c r="G221" s="56">
        <v>4.3999999999999997E-2</v>
      </c>
      <c r="H221" s="56">
        <f t="shared" si="7"/>
        <v>0.14700000000000002</v>
      </c>
      <c r="I221" s="56">
        <v>2.9000000000000001E-2</v>
      </c>
      <c r="J221" s="56">
        <v>0.11700000000000001</v>
      </c>
    </row>
    <row r="222" spans="1:10" x14ac:dyDescent="0.2">
      <c r="A222" s="60"/>
      <c r="B222" s="60" t="s">
        <v>449</v>
      </c>
      <c r="C222" s="59" t="s">
        <v>448</v>
      </c>
      <c r="D222" s="56">
        <v>0.24</v>
      </c>
      <c r="E222" s="56">
        <v>4.9000000000000002E-2</v>
      </c>
      <c r="F222" s="56">
        <v>0</v>
      </c>
      <c r="G222" s="56">
        <v>4.3999999999999997E-2</v>
      </c>
      <c r="H222" s="56">
        <f t="shared" si="7"/>
        <v>0.14700000000000002</v>
      </c>
      <c r="I222" s="56">
        <v>2.9000000000000001E-2</v>
      </c>
      <c r="J222" s="56">
        <v>0.11700000000000001</v>
      </c>
    </row>
    <row r="223" spans="1:10" x14ac:dyDescent="0.2">
      <c r="A223" s="58" t="s">
        <v>447</v>
      </c>
      <c r="B223" s="58" t="s">
        <v>446</v>
      </c>
      <c r="C223" s="57" t="s">
        <v>445</v>
      </c>
      <c r="D223" s="56">
        <v>0.24</v>
      </c>
      <c r="E223" s="56">
        <v>4.9000000000000002E-2</v>
      </c>
      <c r="F223" s="56">
        <v>0</v>
      </c>
      <c r="G223" s="56">
        <v>4.3999999999999997E-2</v>
      </c>
      <c r="H223" s="56">
        <f t="shared" si="7"/>
        <v>0.14700000000000002</v>
      </c>
      <c r="I223" s="56">
        <v>2.9000000000000001E-2</v>
      </c>
      <c r="J223" s="56">
        <v>0.11700000000000001</v>
      </c>
    </row>
    <row r="224" spans="1:10" x14ac:dyDescent="0.2">
      <c r="A224" s="58" t="s">
        <v>444</v>
      </c>
      <c r="B224" s="58" t="s">
        <v>443</v>
      </c>
      <c r="C224" s="57" t="s">
        <v>442</v>
      </c>
      <c r="D224" s="56">
        <v>0.24</v>
      </c>
      <c r="E224" s="56">
        <v>4.9000000000000002E-2</v>
      </c>
      <c r="F224" s="56">
        <v>0</v>
      </c>
      <c r="G224" s="56">
        <v>4.3999999999999997E-2</v>
      </c>
      <c r="H224" s="56">
        <f t="shared" si="7"/>
        <v>0.14700000000000002</v>
      </c>
      <c r="I224" s="56">
        <v>2.9000000000000001E-2</v>
      </c>
      <c r="J224" s="56">
        <v>0.11700000000000001</v>
      </c>
    </row>
    <row r="225" spans="1:10" x14ac:dyDescent="0.2">
      <c r="A225" s="58" t="s">
        <v>441</v>
      </c>
      <c r="B225" s="58" t="s">
        <v>440</v>
      </c>
      <c r="C225" s="57" t="s">
        <v>439</v>
      </c>
      <c r="D225" s="56">
        <v>0.24</v>
      </c>
      <c r="E225" s="56">
        <v>4.9000000000000002E-2</v>
      </c>
      <c r="F225" s="56">
        <v>0</v>
      </c>
      <c r="G225" s="56">
        <v>4.3999999999999997E-2</v>
      </c>
      <c r="H225" s="56">
        <f t="shared" si="7"/>
        <v>0.14700000000000002</v>
      </c>
      <c r="I225" s="56">
        <v>2.9000000000000001E-2</v>
      </c>
      <c r="J225" s="56">
        <v>0.11700000000000001</v>
      </c>
    </row>
    <row r="226" spans="1:10" x14ac:dyDescent="0.2">
      <c r="A226" s="58" t="s">
        <v>438</v>
      </c>
      <c r="B226" s="58" t="s">
        <v>437</v>
      </c>
      <c r="C226" s="57" t="s">
        <v>436</v>
      </c>
      <c r="D226" s="56">
        <v>0.24</v>
      </c>
      <c r="E226" s="56">
        <v>4.9000000000000002E-2</v>
      </c>
      <c r="F226" s="56">
        <v>0</v>
      </c>
      <c r="G226" s="56">
        <v>4.3999999999999997E-2</v>
      </c>
      <c r="H226" s="56">
        <f t="shared" si="7"/>
        <v>0.14700000000000002</v>
      </c>
      <c r="I226" s="56">
        <v>2.9000000000000001E-2</v>
      </c>
      <c r="J226" s="56">
        <v>0.11700000000000001</v>
      </c>
    </row>
    <row r="227" spans="1:10" x14ac:dyDescent="0.2">
      <c r="A227" s="64"/>
      <c r="B227" s="64" t="s">
        <v>435</v>
      </c>
      <c r="C227" s="63" t="s">
        <v>434</v>
      </c>
      <c r="D227" s="56">
        <v>0.24</v>
      </c>
      <c r="E227" s="56">
        <v>4.9000000000000002E-2</v>
      </c>
      <c r="F227" s="56">
        <v>0</v>
      </c>
      <c r="G227" s="56">
        <v>4.3999999999999997E-2</v>
      </c>
      <c r="H227" s="56">
        <f t="shared" si="7"/>
        <v>0.14700000000000002</v>
      </c>
      <c r="I227" s="56">
        <v>2.9000000000000001E-2</v>
      </c>
      <c r="J227" s="56">
        <v>0.11700000000000001</v>
      </c>
    </row>
    <row r="228" spans="1:10" x14ac:dyDescent="0.2">
      <c r="A228" s="62"/>
      <c r="B228" s="62" t="s">
        <v>433</v>
      </c>
      <c r="C228" s="61" t="s">
        <v>431</v>
      </c>
      <c r="D228" s="56">
        <v>0.24</v>
      </c>
      <c r="E228" s="56">
        <v>4.9000000000000002E-2</v>
      </c>
      <c r="F228" s="56">
        <v>0</v>
      </c>
      <c r="G228" s="56">
        <v>4.3999999999999997E-2</v>
      </c>
      <c r="H228" s="56">
        <f t="shared" si="7"/>
        <v>0.14700000000000002</v>
      </c>
      <c r="I228" s="56">
        <v>2.9000000000000001E-2</v>
      </c>
      <c r="J228" s="56">
        <v>0.11700000000000001</v>
      </c>
    </row>
    <row r="229" spans="1:10" x14ac:dyDescent="0.2">
      <c r="A229" s="58"/>
      <c r="B229" s="58" t="s">
        <v>432</v>
      </c>
      <c r="C229" s="57" t="s">
        <v>431</v>
      </c>
      <c r="D229" s="56">
        <v>0.24</v>
      </c>
      <c r="E229" s="56">
        <v>4.9000000000000002E-2</v>
      </c>
      <c r="F229" s="56">
        <v>0</v>
      </c>
      <c r="G229" s="56">
        <v>4.3999999999999997E-2</v>
      </c>
      <c r="H229" s="56">
        <f t="shared" si="7"/>
        <v>0.14700000000000002</v>
      </c>
      <c r="I229" s="56">
        <v>2.9000000000000001E-2</v>
      </c>
      <c r="J229" s="56">
        <v>0.11700000000000001</v>
      </c>
    </row>
    <row r="230" spans="1:10" x14ac:dyDescent="0.2">
      <c r="A230" s="58" t="s">
        <v>430</v>
      </c>
      <c r="B230" s="58" t="s">
        <v>302</v>
      </c>
      <c r="C230" s="57" t="s">
        <v>429</v>
      </c>
      <c r="D230" s="56">
        <v>0.24</v>
      </c>
      <c r="E230" s="56">
        <v>4.9000000000000002E-2</v>
      </c>
      <c r="F230" s="56">
        <v>0</v>
      </c>
      <c r="G230" s="56">
        <v>4.3999999999999997E-2</v>
      </c>
      <c r="H230" s="56">
        <f t="shared" si="7"/>
        <v>0.14700000000000002</v>
      </c>
      <c r="I230" s="56">
        <v>2.9000000000000001E-2</v>
      </c>
      <c r="J230" s="56">
        <v>0.11700000000000001</v>
      </c>
    </row>
    <row r="231" spans="1:10" x14ac:dyDescent="0.2">
      <c r="A231" s="58" t="s">
        <v>428</v>
      </c>
      <c r="B231" s="58" t="s">
        <v>427</v>
      </c>
      <c r="C231" s="57" t="s">
        <v>426</v>
      </c>
      <c r="D231" s="56">
        <v>0.24</v>
      </c>
      <c r="E231" s="56">
        <v>4.9000000000000002E-2</v>
      </c>
      <c r="F231" s="56">
        <v>0</v>
      </c>
      <c r="G231" s="56">
        <v>4.3999999999999997E-2</v>
      </c>
      <c r="H231" s="56">
        <f t="shared" si="7"/>
        <v>0.14700000000000002</v>
      </c>
      <c r="I231" s="56">
        <v>2.9000000000000001E-2</v>
      </c>
      <c r="J231" s="56">
        <v>0.11700000000000001</v>
      </c>
    </row>
    <row r="232" spans="1:10" x14ac:dyDescent="0.2">
      <c r="A232" s="58" t="s">
        <v>425</v>
      </c>
      <c r="B232" s="58" t="s">
        <v>424</v>
      </c>
      <c r="C232" s="57" t="s">
        <v>423</v>
      </c>
      <c r="D232" s="56">
        <v>0.24</v>
      </c>
      <c r="E232" s="56">
        <v>4.9000000000000002E-2</v>
      </c>
      <c r="F232" s="56">
        <v>0</v>
      </c>
      <c r="G232" s="56">
        <v>4.3999999999999997E-2</v>
      </c>
      <c r="H232" s="56">
        <f t="shared" si="7"/>
        <v>0.14700000000000002</v>
      </c>
      <c r="I232" s="56">
        <v>2.9000000000000001E-2</v>
      </c>
      <c r="J232" s="56">
        <v>0.11700000000000001</v>
      </c>
    </row>
    <row r="233" spans="1:10" x14ac:dyDescent="0.2">
      <c r="A233" s="58" t="s">
        <v>422</v>
      </c>
      <c r="B233" s="58" t="s">
        <v>421</v>
      </c>
      <c r="C233" s="57" t="s">
        <v>420</v>
      </c>
      <c r="D233" s="56">
        <v>0.24</v>
      </c>
      <c r="E233" s="56">
        <v>4.9000000000000002E-2</v>
      </c>
      <c r="F233" s="56">
        <v>0</v>
      </c>
      <c r="G233" s="56">
        <v>4.3999999999999997E-2</v>
      </c>
      <c r="H233" s="56">
        <f t="shared" ref="H233:H264" si="8">D233-E233-F233-G233</f>
        <v>0.14700000000000002</v>
      </c>
      <c r="I233" s="56">
        <v>2.9000000000000001E-2</v>
      </c>
      <c r="J233" s="56">
        <v>0.11700000000000001</v>
      </c>
    </row>
    <row r="234" spans="1:10" x14ac:dyDescent="0.2">
      <c r="A234" s="58" t="s">
        <v>419</v>
      </c>
      <c r="B234" s="58" t="s">
        <v>418</v>
      </c>
      <c r="C234" s="57" t="s">
        <v>417</v>
      </c>
      <c r="D234" s="56">
        <v>0.24</v>
      </c>
      <c r="E234" s="56">
        <v>4.9000000000000002E-2</v>
      </c>
      <c r="F234" s="56">
        <v>0</v>
      </c>
      <c r="G234" s="56">
        <v>4.3999999999999997E-2</v>
      </c>
      <c r="H234" s="56">
        <f t="shared" si="8"/>
        <v>0.14700000000000002</v>
      </c>
      <c r="I234" s="56">
        <v>2.9000000000000001E-2</v>
      </c>
      <c r="J234" s="56">
        <v>0.11700000000000001</v>
      </c>
    </row>
    <row r="235" spans="1:10" x14ac:dyDescent="0.2">
      <c r="A235" s="64"/>
      <c r="B235" s="64" t="s">
        <v>416</v>
      </c>
      <c r="C235" s="63" t="s">
        <v>412</v>
      </c>
      <c r="D235" s="56"/>
      <c r="E235" s="56">
        <v>4.9000000000000002E-2</v>
      </c>
      <c r="F235" s="56">
        <v>0</v>
      </c>
      <c r="G235" s="56"/>
      <c r="H235" s="56"/>
      <c r="I235" s="56"/>
      <c r="J235" s="56"/>
    </row>
    <row r="236" spans="1:10" x14ac:dyDescent="0.2">
      <c r="A236" s="62"/>
      <c r="B236" s="62" t="s">
        <v>415</v>
      </c>
      <c r="C236" s="61" t="s">
        <v>414</v>
      </c>
      <c r="D236" s="56"/>
      <c r="E236" s="56">
        <v>4.9000000000000002E-2</v>
      </c>
      <c r="F236" s="56">
        <v>0</v>
      </c>
      <c r="G236" s="56"/>
      <c r="H236" s="56"/>
      <c r="I236" s="56"/>
      <c r="J236" s="56"/>
    </row>
    <row r="237" spans="1:10" x14ac:dyDescent="0.2">
      <c r="A237" s="60"/>
      <c r="B237" s="60" t="s">
        <v>413</v>
      </c>
      <c r="C237" s="59" t="s">
        <v>412</v>
      </c>
      <c r="D237" s="56"/>
      <c r="E237" s="56">
        <v>4.9000000000000002E-2</v>
      </c>
      <c r="F237" s="56">
        <v>0</v>
      </c>
      <c r="G237" s="56"/>
      <c r="H237" s="56"/>
      <c r="I237" s="56"/>
      <c r="J237" s="56"/>
    </row>
    <row r="238" spans="1:10" ht="25.5" x14ac:dyDescent="0.2">
      <c r="A238" s="58"/>
      <c r="B238" s="58" t="s">
        <v>305</v>
      </c>
      <c r="C238" s="57" t="s">
        <v>411</v>
      </c>
      <c r="D238" s="56"/>
      <c r="E238" s="56">
        <v>4.9000000000000002E-2</v>
      </c>
      <c r="F238" s="56">
        <v>0</v>
      </c>
      <c r="G238" s="56"/>
      <c r="H238" s="56"/>
      <c r="I238" s="56"/>
      <c r="J238" s="56"/>
    </row>
    <row r="239" spans="1:10" x14ac:dyDescent="0.2">
      <c r="A239" s="64"/>
      <c r="B239" s="64" t="s">
        <v>410</v>
      </c>
      <c r="C239" s="63" t="s">
        <v>400</v>
      </c>
      <c r="D239" s="56"/>
      <c r="E239" s="56">
        <v>4.9000000000000002E-2</v>
      </c>
      <c r="F239" s="56">
        <v>0</v>
      </c>
      <c r="G239" s="56"/>
      <c r="H239" s="56"/>
      <c r="I239" s="56"/>
      <c r="J239" s="56"/>
    </row>
    <row r="240" spans="1:10" x14ac:dyDescent="0.2">
      <c r="A240" s="62"/>
      <c r="B240" s="62" t="s">
        <v>409</v>
      </c>
      <c r="C240" s="61" t="s">
        <v>408</v>
      </c>
      <c r="D240" s="56"/>
      <c r="E240" s="56">
        <v>4.9000000000000002E-2</v>
      </c>
      <c r="F240" s="56">
        <v>0</v>
      </c>
      <c r="G240" s="56"/>
      <c r="H240" s="56"/>
      <c r="I240" s="56"/>
      <c r="J240" s="56"/>
    </row>
    <row r="241" spans="1:10" x14ac:dyDescent="0.2">
      <c r="A241" s="60"/>
      <c r="B241" s="60" t="s">
        <v>407</v>
      </c>
      <c r="C241" s="59" t="s">
        <v>400</v>
      </c>
      <c r="D241" s="56"/>
      <c r="E241" s="56">
        <v>4.9000000000000002E-2</v>
      </c>
      <c r="F241" s="56">
        <v>0</v>
      </c>
      <c r="G241" s="56"/>
      <c r="H241" s="56"/>
      <c r="I241" s="56"/>
      <c r="J241" s="56"/>
    </row>
    <row r="242" spans="1:10" x14ac:dyDescent="0.2">
      <c r="A242" s="58"/>
      <c r="B242" s="58" t="s">
        <v>308</v>
      </c>
      <c r="C242" s="57" t="s">
        <v>406</v>
      </c>
      <c r="D242" s="56"/>
      <c r="E242" s="56">
        <v>4.9000000000000002E-2</v>
      </c>
      <c r="F242" s="56">
        <v>0</v>
      </c>
      <c r="G242" s="56"/>
      <c r="H242" s="56"/>
      <c r="I242" s="56"/>
      <c r="J242" s="56"/>
    </row>
    <row r="243" spans="1:10" x14ac:dyDescent="0.2">
      <c r="A243" s="58"/>
      <c r="B243" s="58" t="s">
        <v>405</v>
      </c>
      <c r="C243" s="57" t="s">
        <v>404</v>
      </c>
      <c r="D243" s="56">
        <v>0.24</v>
      </c>
      <c r="E243" s="56">
        <v>4.9000000000000002E-2</v>
      </c>
      <c r="F243" s="56">
        <v>0</v>
      </c>
      <c r="G243" s="56">
        <v>4.3999999999999997E-2</v>
      </c>
      <c r="H243" s="56">
        <f>D243-E243-F243-G243</f>
        <v>0.14700000000000002</v>
      </c>
      <c r="I243" s="56">
        <v>2.9000000000000001E-2</v>
      </c>
      <c r="J243" s="56">
        <v>0.11700000000000001</v>
      </c>
    </row>
    <row r="244" spans="1:10" x14ac:dyDescent="0.2">
      <c r="A244" s="58"/>
      <c r="B244" s="58" t="s">
        <v>403</v>
      </c>
      <c r="C244" s="57" t="s">
        <v>402</v>
      </c>
      <c r="D244" s="56"/>
      <c r="E244" s="56">
        <v>4.9000000000000002E-2</v>
      </c>
      <c r="F244" s="56">
        <v>0</v>
      </c>
      <c r="G244" s="56"/>
      <c r="H244" s="56"/>
      <c r="I244" s="56"/>
      <c r="J244" s="56"/>
    </row>
    <row r="245" spans="1:10" x14ac:dyDescent="0.2">
      <c r="A245" s="58"/>
      <c r="B245" s="58" t="s">
        <v>401</v>
      </c>
      <c r="C245" s="57" t="s">
        <v>400</v>
      </c>
      <c r="D245" s="56">
        <v>0.24</v>
      </c>
      <c r="E245" s="56">
        <v>4.9000000000000002E-2</v>
      </c>
      <c r="F245" s="56">
        <v>0</v>
      </c>
      <c r="G245" s="56">
        <v>4.3999999999999997E-2</v>
      </c>
      <c r="H245" s="56">
        <f>D245-E245-F245-G245</f>
        <v>0.14700000000000002</v>
      </c>
      <c r="I245" s="56">
        <v>2.9000000000000001E-2</v>
      </c>
      <c r="J245" s="56">
        <v>0.11700000000000001</v>
      </c>
    </row>
    <row r="246" spans="1:10" x14ac:dyDescent="0.2">
      <c r="A246" s="64"/>
      <c r="B246" s="64" t="s">
        <v>399</v>
      </c>
      <c r="C246" s="63" t="s">
        <v>396</v>
      </c>
      <c r="D246" s="56"/>
      <c r="E246" s="56"/>
      <c r="F246" s="56"/>
      <c r="G246" s="56"/>
      <c r="H246" s="56"/>
      <c r="I246" s="56"/>
      <c r="J246" s="56"/>
    </row>
    <row r="247" spans="1:10" x14ac:dyDescent="0.2">
      <c r="A247" s="62"/>
      <c r="B247" s="62" t="s">
        <v>398</v>
      </c>
      <c r="C247" s="61" t="s">
        <v>396</v>
      </c>
      <c r="D247" s="56"/>
      <c r="E247" s="56"/>
      <c r="F247" s="56"/>
      <c r="G247" s="56"/>
      <c r="H247" s="56"/>
      <c r="I247" s="56"/>
      <c r="J247" s="56"/>
    </row>
    <row r="248" spans="1:10" x14ac:dyDescent="0.2">
      <c r="A248" s="60"/>
      <c r="B248" s="60" t="s">
        <v>397</v>
      </c>
      <c r="C248" s="59" t="s">
        <v>396</v>
      </c>
      <c r="D248" s="56"/>
      <c r="E248" s="56"/>
      <c r="F248" s="56"/>
      <c r="G248" s="56"/>
      <c r="H248" s="56"/>
      <c r="I248" s="56"/>
      <c r="J248" s="56"/>
    </row>
    <row r="249" spans="1:10" x14ac:dyDescent="0.2">
      <c r="A249" s="58"/>
      <c r="B249" s="58" t="s">
        <v>314</v>
      </c>
      <c r="C249" s="57" t="s">
        <v>396</v>
      </c>
      <c r="D249" s="56"/>
      <c r="E249" s="56"/>
      <c r="F249" s="56"/>
      <c r="G249" s="56"/>
      <c r="H249" s="56"/>
      <c r="I249" s="56"/>
      <c r="J249" s="56"/>
    </row>
    <row r="250" spans="1:10" x14ac:dyDescent="0.2">
      <c r="A250" s="58"/>
      <c r="B250" s="58" t="s">
        <v>395</v>
      </c>
      <c r="C250" s="57" t="s">
        <v>64</v>
      </c>
      <c r="D250" s="56"/>
      <c r="E250" s="56"/>
      <c r="F250" s="56"/>
      <c r="G250" s="56"/>
      <c r="H250" s="56"/>
      <c r="I250" s="56"/>
      <c r="J250" s="56"/>
    </row>
    <row r="251" spans="1:10" x14ac:dyDescent="0.2">
      <c r="A251" s="58"/>
      <c r="B251" s="58" t="s">
        <v>394</v>
      </c>
      <c r="C251" s="57" t="s">
        <v>64</v>
      </c>
      <c r="D251" s="56"/>
      <c r="E251" s="56"/>
      <c r="F251" s="56"/>
      <c r="G251" s="56"/>
      <c r="H251" s="56"/>
      <c r="I251" s="56"/>
      <c r="J251" s="56"/>
    </row>
    <row r="252" spans="1:10" x14ac:dyDescent="0.2">
      <c r="A252" s="58"/>
      <c r="B252" s="58" t="s">
        <v>393</v>
      </c>
      <c r="C252" s="57" t="s">
        <v>64</v>
      </c>
      <c r="D252" s="56"/>
      <c r="E252" s="56"/>
      <c r="F252" s="56"/>
      <c r="G252" s="56"/>
      <c r="H252" s="56"/>
      <c r="I252" s="56"/>
      <c r="J252" s="56"/>
    </row>
    <row r="253" spans="1:10" x14ac:dyDescent="0.2">
      <c r="A253" s="58"/>
      <c r="B253" s="58" t="s">
        <v>320</v>
      </c>
      <c r="C253" s="57" t="s">
        <v>392</v>
      </c>
      <c r="D253" s="56"/>
      <c r="E253" s="56"/>
      <c r="F253" s="56"/>
      <c r="G253" s="56"/>
      <c r="H253" s="56"/>
      <c r="I253" s="56"/>
      <c r="J253" s="56"/>
    </row>
    <row r="254" spans="1:10" x14ac:dyDescent="0.2">
      <c r="A254" s="58"/>
      <c r="B254" s="58" t="s">
        <v>391</v>
      </c>
      <c r="C254" s="57" t="s">
        <v>390</v>
      </c>
      <c r="D254" s="56"/>
      <c r="E254" s="56"/>
      <c r="F254" s="56"/>
      <c r="G254" s="56"/>
      <c r="H254" s="56"/>
      <c r="I254" s="56"/>
      <c r="J254" s="56"/>
    </row>
    <row r="255" spans="1:10" x14ac:dyDescent="0.2">
      <c r="A255" s="58"/>
      <c r="B255" s="58" t="s">
        <v>389</v>
      </c>
      <c r="C255" s="57" t="s">
        <v>388</v>
      </c>
      <c r="D255" s="56"/>
      <c r="E255" s="56"/>
      <c r="F255" s="56"/>
      <c r="G255" s="56"/>
      <c r="H255" s="56"/>
      <c r="I255" s="56"/>
      <c r="J255" s="56"/>
    </row>
    <row r="256" spans="1:10" x14ac:dyDescent="0.2">
      <c r="A256" s="58"/>
      <c r="B256" s="58" t="s">
        <v>387</v>
      </c>
      <c r="C256" s="57" t="s">
        <v>155</v>
      </c>
      <c r="D256" s="56"/>
      <c r="E256" s="56"/>
      <c r="F256" s="56"/>
      <c r="G256" s="56"/>
      <c r="H256" s="56"/>
      <c r="I256" s="56"/>
      <c r="J256" s="56"/>
    </row>
    <row r="257" spans="1:10" x14ac:dyDescent="0.2">
      <c r="A257" s="58"/>
      <c r="B257" s="58" t="s">
        <v>386</v>
      </c>
      <c r="C257" s="57" t="s">
        <v>155</v>
      </c>
      <c r="D257" s="56"/>
      <c r="E257" s="56"/>
      <c r="F257" s="56"/>
      <c r="G257" s="56"/>
      <c r="H257" s="56"/>
      <c r="I257" s="56"/>
      <c r="J257" s="56"/>
    </row>
    <row r="258" spans="1:10" x14ac:dyDescent="0.2">
      <c r="A258" s="58"/>
      <c r="B258" s="58" t="s">
        <v>385</v>
      </c>
      <c r="C258" s="57" t="s">
        <v>155</v>
      </c>
      <c r="D258" s="56"/>
      <c r="E258" s="56"/>
      <c r="F258" s="56"/>
      <c r="G258" s="56"/>
      <c r="H258" s="56"/>
      <c r="I258" s="56"/>
      <c r="J258" s="56"/>
    </row>
    <row r="259" spans="1:10" x14ac:dyDescent="0.2">
      <c r="A259" s="58"/>
      <c r="B259" s="58" t="s">
        <v>384</v>
      </c>
      <c r="C259" s="57" t="s">
        <v>155</v>
      </c>
      <c r="D259" s="56"/>
      <c r="E259" s="56"/>
      <c r="F259" s="56"/>
      <c r="G259" s="56"/>
      <c r="H259" s="56"/>
      <c r="I259" s="56"/>
      <c r="J259" s="56"/>
    </row>
    <row r="260" spans="1:10" x14ac:dyDescent="0.2">
      <c r="A260" s="58"/>
      <c r="B260" s="58" t="s">
        <v>383</v>
      </c>
      <c r="C260" s="57" t="s">
        <v>157</v>
      </c>
      <c r="D260" s="56"/>
      <c r="E260" s="56"/>
      <c r="F260" s="56"/>
      <c r="G260" s="56"/>
      <c r="H260" s="56"/>
      <c r="I260" s="56"/>
      <c r="J260" s="56"/>
    </row>
    <row r="261" spans="1:10" x14ac:dyDescent="0.2">
      <c r="A261" s="58"/>
      <c r="B261" s="58" t="s">
        <v>382</v>
      </c>
      <c r="C261" s="57" t="s">
        <v>157</v>
      </c>
      <c r="D261" s="56"/>
      <c r="E261" s="56"/>
      <c r="F261" s="56"/>
      <c r="G261" s="56"/>
      <c r="H261" s="56"/>
      <c r="I261" s="56"/>
      <c r="J261" s="56"/>
    </row>
    <row r="262" spans="1:10" x14ac:dyDescent="0.2">
      <c r="A262" s="58"/>
      <c r="B262" s="58" t="s">
        <v>381</v>
      </c>
      <c r="C262" s="57" t="s">
        <v>157</v>
      </c>
      <c r="D262" s="56"/>
      <c r="E262" s="56"/>
      <c r="F262" s="56"/>
      <c r="G262" s="56"/>
      <c r="H262" s="56"/>
      <c r="I262" s="56"/>
      <c r="J262" s="56"/>
    </row>
    <row r="263" spans="1:10" x14ac:dyDescent="0.2">
      <c r="A263" s="58"/>
      <c r="B263" s="58" t="s">
        <v>363</v>
      </c>
      <c r="C263" s="57" t="s">
        <v>157</v>
      </c>
      <c r="D263" s="56"/>
      <c r="E263" s="56"/>
      <c r="F263" s="56"/>
      <c r="G263" s="56"/>
      <c r="H263" s="56"/>
      <c r="I263" s="56"/>
      <c r="J263" s="5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88"/>
  <sheetViews>
    <sheetView topLeftCell="A4" zoomScale="70" zoomScaleNormal="70" workbookViewId="0">
      <selection activeCell="B6" sqref="B6"/>
    </sheetView>
  </sheetViews>
  <sheetFormatPr defaultColWidth="8.85546875" defaultRowHeight="12.75" outlineLevelRow="1" x14ac:dyDescent="0.2"/>
  <cols>
    <col min="1" max="1" width="23.28515625" customWidth="1"/>
    <col min="2" max="2" width="10.28515625" bestFit="1" customWidth="1"/>
    <col min="3" max="3" width="47.42578125" customWidth="1"/>
    <col min="4" max="4" width="14.7109375" customWidth="1"/>
    <col min="5" max="7" width="14.28515625" customWidth="1"/>
    <col min="8" max="9" width="13.140625" customWidth="1"/>
    <col min="10" max="10" width="11.28515625" customWidth="1"/>
    <col min="11" max="11" width="10.140625" bestFit="1" customWidth="1"/>
    <col min="12" max="18" width="13.140625" bestFit="1" customWidth="1"/>
    <col min="19" max="19" width="11.28515625" bestFit="1" customWidth="1"/>
    <col min="20" max="20" width="13.140625" bestFit="1" customWidth="1"/>
    <col min="21" max="21" width="11.28515625" bestFit="1" customWidth="1"/>
    <col min="22" max="24" width="13.140625" bestFit="1" customWidth="1"/>
    <col min="26" max="26" width="14.28515625" bestFit="1" customWidth="1"/>
    <col min="27" max="28" width="13.140625" bestFit="1" customWidth="1"/>
    <col min="29" max="29" width="26.42578125" bestFit="1" customWidth="1"/>
    <col min="30" max="31" width="11.140625" bestFit="1" customWidth="1"/>
    <col min="32" max="32" width="16.42578125" bestFit="1" customWidth="1"/>
    <col min="33" max="34" width="11.140625" bestFit="1" customWidth="1"/>
    <col min="35" max="35" width="9.7109375" bestFit="1" customWidth="1"/>
    <col min="36" max="37" width="11.140625" bestFit="1" customWidth="1"/>
    <col min="39" max="39" width="11.140625" bestFit="1" customWidth="1"/>
    <col min="41" max="47" width="9.28515625" bestFit="1" customWidth="1"/>
  </cols>
  <sheetData>
    <row r="1" spans="1:17" ht="15" x14ac:dyDescent="0.25">
      <c r="A1" s="40" t="s">
        <v>150</v>
      </c>
      <c r="B1" s="50" t="e">
        <f>INDEX($B$10:$R$2000,MATCH($F$2,$B$10:$B$2000,0),MATCH(A1,$B$11:$Q$11,0)+$D$2)</f>
        <v>#REF!</v>
      </c>
      <c r="C1" s="43"/>
      <c r="D1" s="46" t="s">
        <v>375</v>
      </c>
      <c r="E1" s="46" t="s">
        <v>376</v>
      </c>
      <c r="F1" s="46" t="s">
        <v>377</v>
      </c>
      <c r="G1" s="46" t="s">
        <v>378</v>
      </c>
    </row>
    <row r="2" spans="1:17" ht="15" x14ac:dyDescent="0.25">
      <c r="A2" s="41" t="s">
        <v>63</v>
      </c>
      <c r="B2" s="42">
        <v>0.03</v>
      </c>
      <c r="C2" s="43"/>
      <c r="D2" s="46" t="e">
        <f>MATCH($E$2,$D$10:Q10,0)-1</f>
        <v>#REF!</v>
      </c>
      <c r="E2" s="46" t="e">
        <f>[2]КомСм!H2</f>
        <v>#REF!</v>
      </c>
      <c r="F2" s="46" t="e">
        <f>[2]КомСм!K3</f>
        <v>#REF!</v>
      </c>
      <c r="G2" s="46" t="e">
        <f>INDEX($B$10:$C$85,MATCH(F2,$B$10:$B$85,0),2)</f>
        <v>#REF!</v>
      </c>
    </row>
    <row r="3" spans="1:17" ht="15" x14ac:dyDescent="0.25">
      <c r="A3" s="41" t="s">
        <v>151</v>
      </c>
      <c r="B3" s="42" t="e">
        <f>INDEX($B$10:$R$2000,MATCH($F$2,$B$10:$B$2000,0),MATCH(A3,$B$11:$Q$11,0)+$D$2)</f>
        <v>#REF!</v>
      </c>
      <c r="C3" s="43"/>
      <c r="D3" s="39"/>
    </row>
    <row r="4" spans="1:17" ht="15" x14ac:dyDescent="0.25">
      <c r="A4" s="41" t="s">
        <v>155</v>
      </c>
      <c r="B4" s="42" t="e">
        <f>INDEX($B$10:$R$2000,MATCH($F$2,$B$10:$B$2000,0),MATCH(A4,$B$11:$Q$11,0)+$D$2)</f>
        <v>#REF!</v>
      </c>
      <c r="C4" s="43"/>
      <c r="D4" s="39"/>
    </row>
    <row r="5" spans="1:17" ht="15" x14ac:dyDescent="0.25">
      <c r="A5" s="41" t="s">
        <v>157</v>
      </c>
      <c r="B5" s="42" t="e">
        <f>INDEX($B$10:$R$2000,MATCH($F$2,$B$10:$B$2000,0),MATCH(A5,$B$11:$Q$11,0)+$D$2)</f>
        <v>#REF!</v>
      </c>
      <c r="C5" s="43"/>
      <c r="D5" s="39"/>
    </row>
    <row r="6" spans="1:17" ht="15" x14ac:dyDescent="0.25">
      <c r="A6" s="41" t="s">
        <v>374</v>
      </c>
      <c r="B6" s="42" t="e">
        <f>INDEX($B$10:$R$2000,MATCH($F$2,$B$10:$B$2000,0),MATCH(A6,$B$11:$Q$11,0)+$D$2)</f>
        <v>#REF!</v>
      </c>
      <c r="C6" s="39"/>
      <c r="D6" s="39"/>
    </row>
    <row r="7" spans="1:17" x14ac:dyDescent="0.2">
      <c r="A7" s="51"/>
      <c r="B7" s="52"/>
    </row>
    <row r="8" spans="1:17" ht="15" x14ac:dyDescent="0.25">
      <c r="A8" s="41"/>
      <c r="B8" s="42"/>
    </row>
    <row r="9" spans="1:17" ht="15.75" outlineLevel="1" thickBot="1" x14ac:dyDescent="0.3">
      <c r="A9" s="44"/>
      <c r="B9" s="47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5" outlineLevel="1" x14ac:dyDescent="0.25">
      <c r="A10" s="45"/>
      <c r="B10" s="45"/>
      <c r="D10" s="13" t="s">
        <v>152</v>
      </c>
      <c r="E10" s="13"/>
      <c r="F10" s="13"/>
      <c r="G10" s="13"/>
      <c r="H10" s="13"/>
      <c r="I10" s="13"/>
      <c r="J10" s="13"/>
      <c r="K10" s="14" t="s">
        <v>153</v>
      </c>
      <c r="L10" s="14"/>
      <c r="M10" s="14"/>
      <c r="N10" s="14"/>
      <c r="O10" s="14"/>
      <c r="P10" s="14"/>
      <c r="Q10" s="14"/>
    </row>
    <row r="11" spans="1:17" s="15" customFormat="1" ht="38.25" outlineLevel="1" x14ac:dyDescent="0.2">
      <c r="A11" s="53" t="s">
        <v>379</v>
      </c>
      <c r="B11" s="15" t="s">
        <v>380</v>
      </c>
      <c r="C11" s="15" t="s">
        <v>378</v>
      </c>
      <c r="D11" s="16" t="s">
        <v>154</v>
      </c>
      <c r="E11" s="16" t="s">
        <v>150</v>
      </c>
      <c r="F11" s="16" t="s">
        <v>151</v>
      </c>
      <c r="G11" s="16" t="s">
        <v>155</v>
      </c>
      <c r="H11" s="16" t="s">
        <v>156</v>
      </c>
      <c r="I11" s="16" t="s">
        <v>157</v>
      </c>
      <c r="J11" s="54" t="s">
        <v>374</v>
      </c>
      <c r="K11" s="17" t="s">
        <v>154</v>
      </c>
      <c r="L11" s="17" t="s">
        <v>150</v>
      </c>
      <c r="M11" s="17" t="s">
        <v>151</v>
      </c>
      <c r="N11" s="17" t="s">
        <v>155</v>
      </c>
      <c r="O11" s="17" t="s">
        <v>156</v>
      </c>
      <c r="P11" s="17" t="s">
        <v>157</v>
      </c>
      <c r="Q11" s="18" t="s">
        <v>365</v>
      </c>
    </row>
    <row r="12" spans="1:17" outlineLevel="1" x14ac:dyDescent="0.2">
      <c r="A12" t="s">
        <v>158</v>
      </c>
      <c r="B12" t="s">
        <v>159</v>
      </c>
      <c r="C12" t="s">
        <v>160</v>
      </c>
      <c r="D12" s="19">
        <v>0.18753064925263543</v>
      </c>
      <c r="E12" s="19">
        <v>5.2575023063972305E-2</v>
      </c>
      <c r="F12" s="19">
        <v>4.9999999988103054E-2</v>
      </c>
      <c r="G12" s="19"/>
      <c r="H12" s="19"/>
      <c r="I12" s="19">
        <v>1.6991125240112009E-2</v>
      </c>
      <c r="J12" s="19">
        <v>6.7964500960448065E-2</v>
      </c>
      <c r="K12" s="20">
        <v>0.18753064925263546</v>
      </c>
      <c r="L12" s="20">
        <v>5.2575023063972305E-2</v>
      </c>
      <c r="M12" s="20"/>
      <c r="N12" s="20"/>
      <c r="O12" s="20"/>
      <c r="P12" s="20">
        <v>2.6991125237732616E-2</v>
      </c>
      <c r="Q12" s="20">
        <v>0.10796450095093055</v>
      </c>
    </row>
    <row r="13" spans="1:17" outlineLevel="1" x14ac:dyDescent="0.2">
      <c r="B13" t="s">
        <v>161</v>
      </c>
      <c r="C13" t="s">
        <v>162</v>
      </c>
      <c r="D13" s="19">
        <v>0.18753064925263546</v>
      </c>
      <c r="E13" s="19">
        <v>5.2575023063972312E-2</v>
      </c>
      <c r="F13" s="19">
        <v>4.9999999988103054E-2</v>
      </c>
      <c r="G13" s="19"/>
      <c r="H13" s="19"/>
      <c r="I13" s="19">
        <v>1.6991125240112013E-2</v>
      </c>
      <c r="J13" s="19">
        <v>6.7964500960448079E-2</v>
      </c>
      <c r="K13" s="20">
        <v>0.18753064925263546</v>
      </c>
      <c r="L13" s="20">
        <v>5.2575023063972312E-2</v>
      </c>
      <c r="M13" s="20"/>
      <c r="N13" s="20"/>
      <c r="O13" s="20"/>
      <c r="P13" s="20">
        <v>2.699112523773262E-2</v>
      </c>
      <c r="Q13" s="20">
        <v>0.10796450095093053</v>
      </c>
    </row>
    <row r="14" spans="1:17" outlineLevel="1" x14ac:dyDescent="0.2">
      <c r="A14" t="s">
        <v>163</v>
      </c>
      <c r="B14" t="s">
        <v>164</v>
      </c>
      <c r="C14" t="s">
        <v>165</v>
      </c>
      <c r="D14" s="19">
        <v>0.18753064925263541</v>
      </c>
      <c r="E14" s="19">
        <v>5.2575023063972305E-2</v>
      </c>
      <c r="F14" s="19">
        <v>4.9999999988103054E-2</v>
      </c>
      <c r="G14" s="19"/>
      <c r="H14" s="19"/>
      <c r="I14" s="19">
        <v>1.6991125240112006E-2</v>
      </c>
      <c r="J14" s="19">
        <v>6.7964500960448038E-2</v>
      </c>
      <c r="K14" s="20">
        <v>0.18753064925263546</v>
      </c>
      <c r="L14" s="20">
        <v>5.2575023063972312E-2</v>
      </c>
      <c r="M14" s="20"/>
      <c r="N14" s="20"/>
      <c r="O14" s="20"/>
      <c r="P14" s="20">
        <v>2.699112523773262E-2</v>
      </c>
      <c r="Q14" s="20">
        <v>0.10796450095093052</v>
      </c>
    </row>
    <row r="15" spans="1:17" outlineLevel="1" x14ac:dyDescent="0.2">
      <c r="A15" t="s">
        <v>166</v>
      </c>
      <c r="B15" t="s">
        <v>167</v>
      </c>
      <c r="C15" t="s">
        <v>168</v>
      </c>
      <c r="D15" s="19">
        <v>0.27753064925263543</v>
      </c>
      <c r="E15" s="19">
        <v>5.2575023063972312E-2</v>
      </c>
      <c r="F15" s="19">
        <v>4.9999999988103054E-2</v>
      </c>
      <c r="G15" s="19"/>
      <c r="H15" s="19"/>
      <c r="I15" s="19">
        <v>3.4991125240111998E-2</v>
      </c>
      <c r="J15" s="19">
        <v>0.13996450096044807</v>
      </c>
      <c r="K15" s="20">
        <v>0.27753064925263543</v>
      </c>
      <c r="L15" s="20">
        <v>5.2575023063972312E-2</v>
      </c>
      <c r="M15" s="20"/>
      <c r="N15" s="20"/>
      <c r="O15" s="20"/>
      <c r="P15" s="20">
        <v>4.4991125237732604E-2</v>
      </c>
      <c r="Q15" s="20">
        <v>0.17996450095093053</v>
      </c>
    </row>
    <row r="16" spans="1:17" outlineLevel="1" x14ac:dyDescent="0.2">
      <c r="B16" t="s">
        <v>169</v>
      </c>
      <c r="C16" t="s">
        <v>162</v>
      </c>
      <c r="D16" s="19">
        <v>0.27753064925263543</v>
      </c>
      <c r="E16" s="19">
        <v>5.2575023063972312E-2</v>
      </c>
      <c r="F16" s="19">
        <v>4.9999999988103054E-2</v>
      </c>
      <c r="G16" s="19"/>
      <c r="H16" s="19"/>
      <c r="I16" s="19">
        <v>3.4991125240111998E-2</v>
      </c>
      <c r="J16" s="19">
        <v>0.13996450096044805</v>
      </c>
      <c r="K16" s="20">
        <v>0.27753064925263554</v>
      </c>
      <c r="L16" s="20">
        <v>5.2575023063972319E-2</v>
      </c>
      <c r="M16" s="20"/>
      <c r="N16" s="20"/>
      <c r="O16" s="20"/>
      <c r="P16" s="20">
        <v>4.4991125237732632E-2</v>
      </c>
      <c r="Q16" s="20">
        <v>0.17996450095093061</v>
      </c>
    </row>
    <row r="17" spans="1:17" outlineLevel="1" x14ac:dyDescent="0.2">
      <c r="A17" t="s">
        <v>170</v>
      </c>
      <c r="B17" t="s">
        <v>171</v>
      </c>
      <c r="C17" t="s">
        <v>172</v>
      </c>
      <c r="D17" s="19">
        <v>0.27753064925263549</v>
      </c>
      <c r="E17" s="19">
        <v>5.2575023063972312E-2</v>
      </c>
      <c r="F17" s="19">
        <v>4.9999999988103054E-2</v>
      </c>
      <c r="G17" s="19"/>
      <c r="H17" s="19"/>
      <c r="I17" s="19">
        <v>3.4991125240111998E-2</v>
      </c>
      <c r="J17" s="19">
        <v>0.13996450096044807</v>
      </c>
      <c r="K17" s="20">
        <v>0.27753064925263554</v>
      </c>
      <c r="L17" s="20">
        <v>5.2575023063972305E-2</v>
      </c>
      <c r="M17" s="20"/>
      <c r="N17" s="20"/>
      <c r="O17" s="20"/>
      <c r="P17" s="20">
        <v>4.4991125237732632E-2</v>
      </c>
      <c r="Q17" s="20">
        <v>0.17996450095093058</v>
      </c>
    </row>
    <row r="18" spans="1:17" outlineLevel="1" x14ac:dyDescent="0.2">
      <c r="B18" t="s">
        <v>173</v>
      </c>
      <c r="C18" t="s">
        <v>162</v>
      </c>
      <c r="D18" s="19">
        <v>0.27753064925263554</v>
      </c>
      <c r="E18" s="19">
        <v>5.2575023063972312E-2</v>
      </c>
      <c r="F18" s="19">
        <v>4.9999999988103054E-2</v>
      </c>
      <c r="G18" s="19"/>
      <c r="H18" s="19"/>
      <c r="I18" s="19">
        <v>3.4991125240112018E-2</v>
      </c>
      <c r="J18" s="19">
        <v>0.13996450096044816</v>
      </c>
      <c r="K18" s="20">
        <v>0.27753064925263549</v>
      </c>
      <c r="L18" s="20">
        <v>5.2575023063972312E-2</v>
      </c>
      <c r="M18" s="20"/>
      <c r="N18" s="20"/>
      <c r="O18" s="20"/>
      <c r="P18" s="20">
        <v>4.4991125237732618E-2</v>
      </c>
      <c r="Q18" s="20">
        <v>0.17996450095093058</v>
      </c>
    </row>
    <row r="19" spans="1:17" outlineLevel="1" x14ac:dyDescent="0.2">
      <c r="A19" t="s">
        <v>174</v>
      </c>
      <c r="B19" t="s">
        <v>175</v>
      </c>
      <c r="C19" t="s">
        <v>176</v>
      </c>
      <c r="D19" s="19">
        <v>-0.29674711048039942</v>
      </c>
      <c r="E19" s="19">
        <v>5.2575023063972312E-2</v>
      </c>
      <c r="F19" s="19">
        <v>4.9999999988103054E-2</v>
      </c>
      <c r="G19" s="19"/>
      <c r="H19" s="19"/>
      <c r="I19" s="19">
        <v>-7.986442670649492E-2</v>
      </c>
      <c r="J19" s="19">
        <v>-0.31945770682597985</v>
      </c>
      <c r="K19" s="20">
        <v>0.27753064925263549</v>
      </c>
      <c r="L19" s="20">
        <v>5.2575023063972312E-2</v>
      </c>
      <c r="M19" s="20"/>
      <c r="N19" s="20"/>
      <c r="O19" s="20"/>
      <c r="P19" s="20">
        <v>4.4991125237732618E-2</v>
      </c>
      <c r="Q19" s="20">
        <v>0.17996450095093056</v>
      </c>
    </row>
    <row r="20" spans="1:17" outlineLevel="1" x14ac:dyDescent="0.2">
      <c r="A20" t="s">
        <v>177</v>
      </c>
      <c r="B20" t="s">
        <v>178</v>
      </c>
      <c r="C20" t="s">
        <v>176</v>
      </c>
      <c r="D20" s="19">
        <v>-0.50414684459403647</v>
      </c>
      <c r="E20" s="19">
        <v>5.2575023063972319E-2</v>
      </c>
      <c r="F20" s="19">
        <v>4.9999999988103054E-2</v>
      </c>
      <c r="G20" s="19"/>
      <c r="H20" s="19"/>
      <c r="I20" s="19">
        <v>-0.12134437352922232</v>
      </c>
      <c r="J20" s="19">
        <v>-0.48537749411688952</v>
      </c>
      <c r="K20" s="20">
        <v>0.27753064925263543</v>
      </c>
      <c r="L20" s="20">
        <v>5.2575023063972312E-2</v>
      </c>
      <c r="M20" s="20"/>
      <c r="N20" s="20"/>
      <c r="O20" s="20"/>
      <c r="P20" s="20">
        <v>4.4991125237732618E-2</v>
      </c>
      <c r="Q20" s="20">
        <v>0.17996450095093056</v>
      </c>
    </row>
    <row r="21" spans="1:17" outlineLevel="1" x14ac:dyDescent="0.2">
      <c r="B21" t="s">
        <v>179</v>
      </c>
      <c r="C21" t="s">
        <v>162</v>
      </c>
      <c r="D21" s="19">
        <v>0.27753064925263549</v>
      </c>
      <c r="E21" s="19">
        <v>5.2575023063972312E-2</v>
      </c>
      <c r="F21" s="19">
        <v>4.9999999988103054E-2</v>
      </c>
      <c r="G21" s="19"/>
      <c r="H21" s="19"/>
      <c r="I21" s="19">
        <v>3.4991125240112012E-2</v>
      </c>
      <c r="J21" s="19">
        <v>0.13996450096044807</v>
      </c>
      <c r="K21" s="20">
        <v>0.27753064925263549</v>
      </c>
      <c r="L21" s="20">
        <v>5.2575023063972312E-2</v>
      </c>
      <c r="M21" s="20"/>
      <c r="N21" s="20"/>
      <c r="O21" s="20"/>
      <c r="P21" s="20">
        <v>4.4991125237732611E-2</v>
      </c>
      <c r="Q21" s="20">
        <v>0.17996450095093056</v>
      </c>
    </row>
    <row r="22" spans="1:17" outlineLevel="1" x14ac:dyDescent="0.2">
      <c r="A22" t="s">
        <v>180</v>
      </c>
      <c r="B22" t="s">
        <v>181</v>
      </c>
      <c r="C22" t="s">
        <v>182</v>
      </c>
      <c r="D22" s="19">
        <v>0.18753064925263546</v>
      </c>
      <c r="E22" s="19">
        <v>5.2575023063972312E-2</v>
      </c>
      <c r="F22" s="19">
        <v>4.9999999988103047E-2</v>
      </c>
      <c r="G22" s="19"/>
      <c r="H22" s="19"/>
      <c r="I22" s="19">
        <v>1.6991125240112013E-2</v>
      </c>
      <c r="J22" s="19">
        <v>6.7964500960448093E-2</v>
      </c>
      <c r="K22" s="20">
        <v>0.18753064925263541</v>
      </c>
      <c r="L22" s="20">
        <v>5.2575023063972305E-2</v>
      </c>
      <c r="M22" s="20"/>
      <c r="N22" s="20"/>
      <c r="O22" s="20"/>
      <c r="P22" s="20">
        <v>2.6991125237732609E-2</v>
      </c>
      <c r="Q22" s="20">
        <v>0.10796450095093051</v>
      </c>
    </row>
    <row r="23" spans="1:17" outlineLevel="1" x14ac:dyDescent="0.2">
      <c r="B23" t="s">
        <v>183</v>
      </c>
      <c r="C23" t="s">
        <v>162</v>
      </c>
      <c r="D23" s="19">
        <v>0.18753064925263541</v>
      </c>
      <c r="E23" s="19">
        <v>5.2575023063972312E-2</v>
      </c>
      <c r="F23" s="19">
        <v>4.9999999988103047E-2</v>
      </c>
      <c r="G23" s="19"/>
      <c r="H23" s="19"/>
      <c r="I23" s="19">
        <v>1.6991125240112006E-2</v>
      </c>
      <c r="J23" s="19">
        <v>6.7964500960448052E-2</v>
      </c>
      <c r="K23" s="20">
        <v>0.18753064925263541</v>
      </c>
      <c r="L23" s="20">
        <v>5.2575023063972312E-2</v>
      </c>
      <c r="M23" s="20"/>
      <c r="N23" s="20"/>
      <c r="O23" s="20"/>
      <c r="P23" s="20">
        <v>2.6991125237732609E-2</v>
      </c>
      <c r="Q23" s="20">
        <v>0.10796450095093048</v>
      </c>
    </row>
    <row r="24" spans="1:17" outlineLevel="1" x14ac:dyDescent="0.2">
      <c r="A24" t="s">
        <v>184</v>
      </c>
      <c r="B24" t="s">
        <v>185</v>
      </c>
      <c r="C24" t="s">
        <v>186</v>
      </c>
      <c r="D24" s="19">
        <v>0.27753064925263554</v>
      </c>
      <c r="E24" s="19">
        <v>5.2575023063972305E-2</v>
      </c>
      <c r="F24" s="19">
        <v>4.9999999988103054E-2</v>
      </c>
      <c r="G24" s="19"/>
      <c r="H24" s="19"/>
      <c r="I24" s="19">
        <v>3.4991125240112025E-2</v>
      </c>
      <c r="J24" s="19">
        <v>0.13996450096044816</v>
      </c>
      <c r="K24" s="20">
        <v>0.27753064925263554</v>
      </c>
      <c r="L24" s="20">
        <v>5.2575023063972312E-2</v>
      </c>
      <c r="M24" s="20"/>
      <c r="N24" s="20"/>
      <c r="O24" s="20"/>
      <c r="P24" s="20">
        <v>4.4991125237732632E-2</v>
      </c>
      <c r="Q24" s="20">
        <v>0.17996450095093064</v>
      </c>
    </row>
    <row r="25" spans="1:17" outlineLevel="1" x14ac:dyDescent="0.2">
      <c r="B25" t="s">
        <v>187</v>
      </c>
      <c r="C25" t="s">
        <v>162</v>
      </c>
      <c r="D25" s="19">
        <v>0.27753064925263549</v>
      </c>
      <c r="E25" s="19">
        <v>5.2575023063972305E-2</v>
      </c>
      <c r="F25" s="19">
        <v>4.9999999988103054E-2</v>
      </c>
      <c r="G25" s="19"/>
      <c r="H25" s="19"/>
      <c r="I25" s="19">
        <v>3.4991125240112012E-2</v>
      </c>
      <c r="J25" s="19">
        <v>0.13996450096044813</v>
      </c>
      <c r="K25" s="20">
        <v>0.27753064925263549</v>
      </c>
      <c r="L25" s="20">
        <v>5.2575023063972312E-2</v>
      </c>
      <c r="M25" s="20"/>
      <c r="N25" s="20"/>
      <c r="O25" s="20"/>
      <c r="P25" s="20">
        <v>4.4991125237732625E-2</v>
      </c>
      <c r="Q25" s="20">
        <v>0.17996450095093056</v>
      </c>
    </row>
    <row r="26" spans="1:17" outlineLevel="1" x14ac:dyDescent="0.2">
      <c r="A26" t="s">
        <v>188</v>
      </c>
      <c r="B26" t="s">
        <v>189</v>
      </c>
      <c r="C26" t="s">
        <v>190</v>
      </c>
      <c r="D26" s="19">
        <v>0.18753064925263538</v>
      </c>
      <c r="E26" s="19">
        <v>5.2575023063972312E-2</v>
      </c>
      <c r="F26" s="19">
        <v>4.9999999988103054E-2</v>
      </c>
      <c r="G26" s="19"/>
      <c r="H26" s="19"/>
      <c r="I26" s="19">
        <v>1.6991125240112002E-2</v>
      </c>
      <c r="J26" s="19">
        <v>6.7964500960448038E-2</v>
      </c>
      <c r="K26" s="20">
        <v>0.18753064925263543</v>
      </c>
      <c r="L26" s="20">
        <v>5.2575023063972312E-2</v>
      </c>
      <c r="M26" s="20"/>
      <c r="N26" s="20"/>
      <c r="O26" s="20"/>
      <c r="P26" s="20">
        <v>2.6991125237732616E-2</v>
      </c>
      <c r="Q26" s="20">
        <v>0.10796450095093052</v>
      </c>
    </row>
    <row r="27" spans="1:17" outlineLevel="1" x14ac:dyDescent="0.2">
      <c r="B27" t="s">
        <v>191</v>
      </c>
      <c r="C27" t="s">
        <v>162</v>
      </c>
      <c r="D27" s="19">
        <v>0.27753064925263549</v>
      </c>
      <c r="E27" s="19">
        <v>5.2575023063972312E-2</v>
      </c>
      <c r="F27" s="19">
        <v>4.9999999988103061E-2</v>
      </c>
      <c r="G27" s="19"/>
      <c r="H27" s="19"/>
      <c r="I27" s="19">
        <v>3.4991125240112012E-2</v>
      </c>
      <c r="J27" s="19">
        <v>0.1399645009604481</v>
      </c>
      <c r="K27" s="20">
        <v>0.27753064925263543</v>
      </c>
      <c r="L27" s="20">
        <v>5.2575023063972305E-2</v>
      </c>
      <c r="M27" s="20"/>
      <c r="N27" s="20"/>
      <c r="O27" s="20"/>
      <c r="P27" s="20">
        <v>4.4991125237732611E-2</v>
      </c>
      <c r="Q27" s="20">
        <v>0.1799645009509305</v>
      </c>
    </row>
    <row r="28" spans="1:17" outlineLevel="1" x14ac:dyDescent="0.2">
      <c r="A28" t="s">
        <v>192</v>
      </c>
      <c r="B28" t="s">
        <v>193</v>
      </c>
      <c r="C28" t="s">
        <v>194</v>
      </c>
      <c r="D28" s="19">
        <v>0.27753064925263543</v>
      </c>
      <c r="E28" s="19">
        <v>5.2575023063972312E-2</v>
      </c>
      <c r="F28" s="19">
        <v>4.9999999988103054E-2</v>
      </c>
      <c r="G28" s="19"/>
      <c r="H28" s="19"/>
      <c r="I28" s="19">
        <v>3.4991125240112005E-2</v>
      </c>
      <c r="J28" s="19">
        <v>0.13996450096044807</v>
      </c>
      <c r="K28" s="20">
        <v>0.27753064925263549</v>
      </c>
      <c r="L28" s="20">
        <v>5.2575023063972312E-2</v>
      </c>
      <c r="M28" s="20"/>
      <c r="N28" s="20"/>
      <c r="O28" s="20"/>
      <c r="P28" s="20">
        <v>4.4991125237732618E-2</v>
      </c>
      <c r="Q28" s="20">
        <v>0.17996450095093056</v>
      </c>
    </row>
    <row r="29" spans="1:17" outlineLevel="1" x14ac:dyDescent="0.2">
      <c r="B29" t="s">
        <v>195</v>
      </c>
      <c r="C29" t="s">
        <v>162</v>
      </c>
      <c r="D29" s="19">
        <v>0.27753064925263549</v>
      </c>
      <c r="E29" s="19">
        <v>5.2575023063972319E-2</v>
      </c>
      <c r="F29" s="19">
        <v>4.9999999988103047E-2</v>
      </c>
      <c r="G29" s="19"/>
      <c r="H29" s="19"/>
      <c r="I29" s="19">
        <v>3.4991125240112012E-2</v>
      </c>
      <c r="J29" s="19">
        <v>0.13996450096044813</v>
      </c>
      <c r="K29" s="20">
        <v>0.27753064925263554</v>
      </c>
      <c r="L29" s="20">
        <v>5.2575023063972312E-2</v>
      </c>
      <c r="M29" s="20"/>
      <c r="N29" s="20"/>
      <c r="O29" s="20"/>
      <c r="P29" s="20">
        <v>4.4991125237732618E-2</v>
      </c>
      <c r="Q29" s="20">
        <v>0.17996450095093058</v>
      </c>
    </row>
    <row r="30" spans="1:17" outlineLevel="1" x14ac:dyDescent="0.2">
      <c r="A30" t="s">
        <v>196</v>
      </c>
      <c r="B30" t="s">
        <v>197</v>
      </c>
      <c r="C30" t="s">
        <v>13</v>
      </c>
      <c r="D30" s="19">
        <v>0.13753064925263531</v>
      </c>
      <c r="E30" s="19">
        <v>5.2575023063972312E-2</v>
      </c>
      <c r="F30" s="19">
        <v>4.9999999988103047E-2</v>
      </c>
      <c r="G30" s="19">
        <v>1.2023903376420441E-2</v>
      </c>
      <c r="H30" s="19"/>
      <c r="I30" s="19">
        <v>4.5863445648278989E-3</v>
      </c>
      <c r="J30" s="19">
        <v>1.8345378259311606E-2</v>
      </c>
      <c r="K30" s="20">
        <v>0.14753064925263543</v>
      </c>
      <c r="L30" s="20">
        <v>5.2575023063972305E-2</v>
      </c>
      <c r="M30" s="20"/>
      <c r="N30" s="20">
        <v>3.2662475213266054E-2</v>
      </c>
      <c r="O30" s="20"/>
      <c r="P30" s="20">
        <v>1.2458630195079409E-2</v>
      </c>
      <c r="Q30" s="20">
        <v>4.9834520780317658E-2</v>
      </c>
    </row>
    <row r="31" spans="1:17" outlineLevel="1" x14ac:dyDescent="0.2">
      <c r="A31" t="s">
        <v>198</v>
      </c>
      <c r="B31" t="s">
        <v>199</v>
      </c>
      <c r="C31" t="s">
        <v>200</v>
      </c>
      <c r="D31" s="19">
        <v>0.14753064925263548</v>
      </c>
      <c r="E31" s="19">
        <v>5.2575023063972305E-2</v>
      </c>
      <c r="F31" s="19">
        <v>4.9999999988103054E-2</v>
      </c>
      <c r="G31" s="19">
        <v>1.5463665349910142E-2</v>
      </c>
      <c r="H31" s="19"/>
      <c r="I31" s="19">
        <v>5.8983921701299914E-3</v>
      </c>
      <c r="J31" s="19">
        <v>2.3593568680519976E-2</v>
      </c>
      <c r="K31" s="20">
        <v>0.1475306492526354</v>
      </c>
      <c r="L31" s="20">
        <v>5.2575023063972312E-2</v>
      </c>
      <c r="M31" s="20"/>
      <c r="N31" s="20">
        <v>3.266247521326604E-2</v>
      </c>
      <c r="O31" s="20"/>
      <c r="P31" s="20">
        <v>1.2458630195079406E-2</v>
      </c>
      <c r="Q31" s="20">
        <v>4.9834520780317637E-2</v>
      </c>
    </row>
    <row r="32" spans="1:17" outlineLevel="1" x14ac:dyDescent="0.2">
      <c r="A32" t="s">
        <v>201</v>
      </c>
      <c r="B32" t="s">
        <v>202</v>
      </c>
      <c r="C32" t="s">
        <v>203</v>
      </c>
      <c r="D32" s="19">
        <v>0.18753064925263549</v>
      </c>
      <c r="E32" s="19">
        <v>5.2575023063972312E-2</v>
      </c>
      <c r="F32" s="19">
        <v>4.9999999988103054E-2</v>
      </c>
      <c r="G32" s="19">
        <v>2.9222713243868725E-2</v>
      </c>
      <c r="H32" s="19"/>
      <c r="I32" s="19">
        <v>1.1146582591338274E-2</v>
      </c>
      <c r="J32" s="19">
        <v>4.4586330365353116E-2</v>
      </c>
      <c r="K32" s="20">
        <v>0.18753064925263546</v>
      </c>
      <c r="L32" s="20">
        <v>5.2575023063972305E-2</v>
      </c>
      <c r="M32" s="20"/>
      <c r="N32" s="20">
        <v>4.6421523107224624E-2</v>
      </c>
      <c r="O32" s="20"/>
      <c r="P32" s="20">
        <v>1.77068206162877E-2</v>
      </c>
      <c r="Q32" s="20">
        <v>7.0827282465150812E-2</v>
      </c>
    </row>
    <row r="33" spans="1:17" outlineLevel="1" x14ac:dyDescent="0.2">
      <c r="A33" t="s">
        <v>204</v>
      </c>
      <c r="B33" t="s">
        <v>205</v>
      </c>
      <c r="C33" t="s">
        <v>206</v>
      </c>
      <c r="D33" s="19">
        <v>0.18753064925263546</v>
      </c>
      <c r="E33" s="19">
        <v>5.2575023063972312E-2</v>
      </c>
      <c r="F33" s="19">
        <v>4.9999999988103054E-2</v>
      </c>
      <c r="G33" s="19">
        <v>2.9222713243868711E-2</v>
      </c>
      <c r="H33" s="19"/>
      <c r="I33" s="19">
        <v>1.114658259133827E-2</v>
      </c>
      <c r="J33" s="19">
        <v>4.4586330365353095E-2</v>
      </c>
      <c r="K33" s="20">
        <v>0.18753064925263541</v>
      </c>
      <c r="L33" s="20">
        <v>5.2575023063972312E-2</v>
      </c>
      <c r="M33" s="20"/>
      <c r="N33" s="20">
        <v>4.6421523107224617E-2</v>
      </c>
      <c r="O33" s="20"/>
      <c r="P33" s="20">
        <v>1.7706820616287693E-2</v>
      </c>
      <c r="Q33" s="20">
        <v>7.0827282465150798E-2</v>
      </c>
    </row>
    <row r="34" spans="1:17" outlineLevel="1" x14ac:dyDescent="0.2">
      <c r="A34" t="s">
        <v>207</v>
      </c>
      <c r="B34" t="s">
        <v>208</v>
      </c>
      <c r="C34" t="s">
        <v>209</v>
      </c>
      <c r="D34" s="19">
        <v>0.18753064925263546</v>
      </c>
      <c r="E34" s="19">
        <v>5.2575023063972312E-2</v>
      </c>
      <c r="F34" s="19">
        <v>4.9999999988103054E-2</v>
      </c>
      <c r="G34" s="19">
        <v>2.9222713243868714E-2</v>
      </c>
      <c r="H34" s="19"/>
      <c r="I34" s="19">
        <v>1.1146582591338272E-2</v>
      </c>
      <c r="J34" s="19">
        <v>4.4586330365353109E-2</v>
      </c>
      <c r="K34" s="20">
        <v>0.18753064925263543</v>
      </c>
      <c r="L34" s="20">
        <v>5.2575023063972305E-2</v>
      </c>
      <c r="M34" s="20"/>
      <c r="N34" s="20">
        <v>4.6421523107224617E-2</v>
      </c>
      <c r="O34" s="20"/>
      <c r="P34" s="20">
        <v>1.7706820616287693E-2</v>
      </c>
      <c r="Q34" s="20">
        <v>7.0827282465150812E-2</v>
      </c>
    </row>
    <row r="35" spans="1:17" outlineLevel="1" x14ac:dyDescent="0.2">
      <c r="A35" t="s">
        <v>210</v>
      </c>
      <c r="B35" t="s">
        <v>211</v>
      </c>
      <c r="C35" t="s">
        <v>212</v>
      </c>
      <c r="D35" s="19">
        <v>0.18753064925263543</v>
      </c>
      <c r="E35" s="19">
        <v>5.2575023063972319E-2</v>
      </c>
      <c r="F35" s="19">
        <v>4.9999999988103061E-2</v>
      </c>
      <c r="G35" s="19">
        <v>2.9222713243868697E-2</v>
      </c>
      <c r="H35" s="19"/>
      <c r="I35" s="19">
        <v>1.1146582591338267E-2</v>
      </c>
      <c r="J35" s="19">
        <v>4.4586330365353088E-2</v>
      </c>
      <c r="K35" s="20">
        <v>0.18753064925263543</v>
      </c>
      <c r="L35" s="20">
        <v>5.2575023063972312E-2</v>
      </c>
      <c r="M35" s="20"/>
      <c r="N35" s="20">
        <v>4.6421523107224624E-2</v>
      </c>
      <c r="O35" s="20"/>
      <c r="P35" s="20">
        <v>1.7706820616287693E-2</v>
      </c>
      <c r="Q35" s="20">
        <v>7.0827282465150798E-2</v>
      </c>
    </row>
    <row r="36" spans="1:17" outlineLevel="1" x14ac:dyDescent="0.2">
      <c r="A36" t="s">
        <v>213</v>
      </c>
      <c r="B36" t="s">
        <v>214</v>
      </c>
      <c r="C36" t="s">
        <v>215</v>
      </c>
      <c r="D36" s="19">
        <v>0.18753064925263543</v>
      </c>
      <c r="E36" s="19">
        <v>5.2575023063972312E-2</v>
      </c>
      <c r="F36" s="19">
        <v>4.9999999988103047E-2</v>
      </c>
      <c r="G36" s="19">
        <v>2.9222713243868707E-2</v>
      </c>
      <c r="H36" s="19"/>
      <c r="I36" s="19">
        <v>1.114658259133827E-2</v>
      </c>
      <c r="J36" s="19">
        <v>4.4586330365353088E-2</v>
      </c>
      <c r="K36" s="20">
        <v>0.18753064925263541</v>
      </c>
      <c r="L36" s="20">
        <v>5.2575023063972305E-2</v>
      </c>
      <c r="M36" s="20"/>
      <c r="N36" s="20">
        <v>4.642152310722461E-2</v>
      </c>
      <c r="O36" s="20"/>
      <c r="P36" s="20">
        <v>1.7706820616287689E-2</v>
      </c>
      <c r="Q36" s="20">
        <v>7.0827282465150798E-2</v>
      </c>
    </row>
    <row r="37" spans="1:17" outlineLevel="1" x14ac:dyDescent="0.2">
      <c r="A37" t="s">
        <v>216</v>
      </c>
      <c r="B37" t="s">
        <v>217</v>
      </c>
      <c r="C37" t="s">
        <v>218</v>
      </c>
      <c r="D37" s="19">
        <v>0.18753064925263546</v>
      </c>
      <c r="E37" s="19">
        <v>5.2575023063972312E-2</v>
      </c>
      <c r="F37" s="19">
        <v>4.9999999988103061E-2</v>
      </c>
      <c r="G37" s="19">
        <v>2.9222713243868711E-2</v>
      </c>
      <c r="H37" s="19"/>
      <c r="I37" s="19">
        <v>1.1146582591338274E-2</v>
      </c>
      <c r="J37" s="19">
        <v>4.4586330365353116E-2</v>
      </c>
      <c r="K37" s="20">
        <v>0.18753064925263546</v>
      </c>
      <c r="L37" s="20">
        <v>5.2575023063972312E-2</v>
      </c>
      <c r="M37" s="20"/>
      <c r="N37" s="20">
        <v>4.6421523107224638E-2</v>
      </c>
      <c r="O37" s="20"/>
      <c r="P37" s="20">
        <v>1.77068206162877E-2</v>
      </c>
      <c r="Q37" s="20">
        <v>7.0827282465150826E-2</v>
      </c>
    </row>
    <row r="38" spans="1:17" outlineLevel="1" x14ac:dyDescent="0.2">
      <c r="A38" t="s">
        <v>219</v>
      </c>
      <c r="B38" t="s">
        <v>220</v>
      </c>
      <c r="C38" t="s">
        <v>221</v>
      </c>
      <c r="D38" s="19">
        <v>0.18753064925263549</v>
      </c>
      <c r="E38" s="19">
        <v>5.2575023063972312E-2</v>
      </c>
      <c r="F38" s="19">
        <v>4.9999999988103054E-2</v>
      </c>
      <c r="G38" s="19">
        <v>2.9222713243868725E-2</v>
      </c>
      <c r="H38" s="19"/>
      <c r="I38" s="19">
        <v>1.1146582591338277E-2</v>
      </c>
      <c r="J38" s="19">
        <v>4.4586330365353123E-2</v>
      </c>
      <c r="K38" s="20">
        <v>0.18753064925263541</v>
      </c>
      <c r="L38" s="20">
        <v>5.2575023063972312E-2</v>
      </c>
      <c r="M38" s="20"/>
      <c r="N38" s="20">
        <v>4.642152310722461E-2</v>
      </c>
      <c r="O38" s="20"/>
      <c r="P38" s="20">
        <v>1.7706820616287689E-2</v>
      </c>
      <c r="Q38" s="20">
        <v>7.0827282465150798E-2</v>
      </c>
    </row>
    <row r="39" spans="1:17" outlineLevel="1" x14ac:dyDescent="0.2">
      <c r="A39" t="s">
        <v>222</v>
      </c>
      <c r="B39" t="s">
        <v>223</v>
      </c>
      <c r="C39" t="s">
        <v>224</v>
      </c>
      <c r="D39" s="19">
        <v>0.18753064925263538</v>
      </c>
      <c r="E39" s="19">
        <v>5.2575023063972312E-2</v>
      </c>
      <c r="F39" s="19">
        <v>4.9999999988103054E-2</v>
      </c>
      <c r="G39" s="19">
        <v>2.922271324386868E-2</v>
      </c>
      <c r="H39" s="19"/>
      <c r="I39" s="19">
        <v>1.1146582591338258E-2</v>
      </c>
      <c r="J39" s="19">
        <v>4.4586330365353047E-2</v>
      </c>
      <c r="K39" s="20">
        <v>0.18753064925263541</v>
      </c>
      <c r="L39" s="20">
        <v>5.2575023063972305E-2</v>
      </c>
      <c r="M39" s="20"/>
      <c r="N39" s="20">
        <v>4.6421523107224617E-2</v>
      </c>
      <c r="O39" s="20"/>
      <c r="P39" s="20">
        <v>1.7706820616287689E-2</v>
      </c>
      <c r="Q39" s="20">
        <v>7.0827282465150784E-2</v>
      </c>
    </row>
    <row r="40" spans="1:17" outlineLevel="1" x14ac:dyDescent="0.2">
      <c r="A40" t="s">
        <v>225</v>
      </c>
      <c r="B40" t="s">
        <v>226</v>
      </c>
      <c r="C40" t="s">
        <v>227</v>
      </c>
      <c r="D40" s="19">
        <v>0.18753064925263543</v>
      </c>
      <c r="E40" s="19">
        <v>5.2575023063972312E-2</v>
      </c>
      <c r="F40" s="19">
        <v>4.9999999988103047E-2</v>
      </c>
      <c r="G40" s="19">
        <v>2.9222713243868707E-2</v>
      </c>
      <c r="H40" s="19"/>
      <c r="I40" s="19">
        <v>1.1146582591338272E-2</v>
      </c>
      <c r="J40" s="19">
        <v>4.4586330365353102E-2</v>
      </c>
      <c r="K40" s="20">
        <v>0.18753064925263543</v>
      </c>
      <c r="L40" s="20">
        <v>5.2575023063972305E-2</v>
      </c>
      <c r="M40" s="20"/>
      <c r="N40" s="20">
        <v>4.6421523107224624E-2</v>
      </c>
      <c r="O40" s="20"/>
      <c r="P40" s="20">
        <v>1.7706820616287693E-2</v>
      </c>
      <c r="Q40" s="20">
        <v>7.0827282465150798E-2</v>
      </c>
    </row>
    <row r="41" spans="1:17" outlineLevel="1" x14ac:dyDescent="0.2">
      <c r="A41" t="s">
        <v>228</v>
      </c>
      <c r="B41" t="s">
        <v>229</v>
      </c>
      <c r="C41" t="s">
        <v>230</v>
      </c>
      <c r="D41" s="19">
        <v>0.18753064925263546</v>
      </c>
      <c r="E41" s="19">
        <v>5.2575023063972312E-2</v>
      </c>
      <c r="F41" s="19">
        <v>4.9999999988103054E-2</v>
      </c>
      <c r="G41" s="19">
        <v>2.9222713243868721E-2</v>
      </c>
      <c r="H41" s="19"/>
      <c r="I41" s="19">
        <v>1.1146582591338276E-2</v>
      </c>
      <c r="J41" s="19">
        <v>4.4586330365353123E-2</v>
      </c>
      <c r="K41" s="20">
        <v>0.18753064925263546</v>
      </c>
      <c r="L41" s="20">
        <v>5.2575023063972312E-2</v>
      </c>
      <c r="M41" s="20"/>
      <c r="N41" s="20">
        <v>4.6421523107224624E-2</v>
      </c>
      <c r="O41" s="20"/>
      <c r="P41" s="20">
        <v>1.7706820616287696E-2</v>
      </c>
      <c r="Q41" s="20">
        <v>7.0827282465150812E-2</v>
      </c>
    </row>
    <row r="42" spans="1:17" outlineLevel="1" x14ac:dyDescent="0.2">
      <c r="A42" t="s">
        <v>231</v>
      </c>
      <c r="B42" t="s">
        <v>232</v>
      </c>
      <c r="C42" t="s">
        <v>233</v>
      </c>
      <c r="D42" s="19">
        <v>0.18753064925263541</v>
      </c>
      <c r="E42" s="19">
        <v>5.2575023063972312E-2</v>
      </c>
      <c r="F42" s="19">
        <v>4.9999999988103047E-2</v>
      </c>
      <c r="G42" s="19">
        <v>2.92227132438687E-2</v>
      </c>
      <c r="H42" s="19"/>
      <c r="I42" s="19">
        <v>1.1146582591338267E-2</v>
      </c>
      <c r="J42" s="19">
        <v>4.4586330365353082E-2</v>
      </c>
      <c r="K42" s="20">
        <v>0.18753064925263546</v>
      </c>
      <c r="L42" s="20">
        <v>5.2575023063972319E-2</v>
      </c>
      <c r="M42" s="20"/>
      <c r="N42" s="20">
        <v>4.6421523107224631E-2</v>
      </c>
      <c r="O42" s="20"/>
      <c r="P42" s="20">
        <v>1.7706820616287693E-2</v>
      </c>
      <c r="Q42" s="20">
        <v>7.0827282465150798E-2</v>
      </c>
    </row>
    <row r="43" spans="1:17" outlineLevel="1" x14ac:dyDescent="0.2">
      <c r="A43" t="s">
        <v>234</v>
      </c>
      <c r="B43" t="s">
        <v>235</v>
      </c>
      <c r="C43" t="s">
        <v>236</v>
      </c>
      <c r="D43" s="19">
        <v>0.18753064925263538</v>
      </c>
      <c r="E43" s="19">
        <v>5.2575023063972305E-2</v>
      </c>
      <c r="F43" s="19">
        <v>4.9999999988103054E-2</v>
      </c>
      <c r="G43" s="19">
        <v>2.9222713243868693E-2</v>
      </c>
      <c r="H43" s="19"/>
      <c r="I43" s="19">
        <v>1.1146582591338265E-2</v>
      </c>
      <c r="J43" s="19">
        <v>4.4586330365353082E-2</v>
      </c>
      <c r="K43" s="20">
        <v>0.18753064925263543</v>
      </c>
      <c r="L43" s="20">
        <v>5.2575023063972319E-2</v>
      </c>
      <c r="M43" s="20"/>
      <c r="N43" s="20">
        <v>4.6421523107224624E-2</v>
      </c>
      <c r="O43" s="20"/>
      <c r="P43" s="20">
        <v>1.7706820616287693E-2</v>
      </c>
      <c r="Q43" s="20">
        <v>7.0827282465150798E-2</v>
      </c>
    </row>
    <row r="44" spans="1:17" outlineLevel="1" x14ac:dyDescent="0.2">
      <c r="A44" t="s">
        <v>237</v>
      </c>
      <c r="B44" t="s">
        <v>238</v>
      </c>
      <c r="C44" t="s">
        <v>239</v>
      </c>
      <c r="D44" s="19">
        <v>0.18753064925263541</v>
      </c>
      <c r="E44" s="19">
        <v>5.2575023063972305E-2</v>
      </c>
      <c r="F44" s="19">
        <v>4.9999999988103047E-2</v>
      </c>
      <c r="G44" s="19">
        <v>2.92227132438687E-2</v>
      </c>
      <c r="H44" s="19"/>
      <c r="I44" s="19">
        <v>1.1146582591338267E-2</v>
      </c>
      <c r="J44" s="19">
        <v>4.4586330365353088E-2</v>
      </c>
      <c r="K44" s="20">
        <v>0.18753064925263546</v>
      </c>
      <c r="L44" s="20">
        <v>5.2575023063972312E-2</v>
      </c>
      <c r="M44" s="20"/>
      <c r="N44" s="20">
        <v>4.6421523107224631E-2</v>
      </c>
      <c r="O44" s="20"/>
      <c r="P44" s="20">
        <v>1.7706820616287696E-2</v>
      </c>
      <c r="Q44" s="20">
        <v>7.0827282465150826E-2</v>
      </c>
    </row>
    <row r="45" spans="1:17" outlineLevel="1" x14ac:dyDescent="0.2">
      <c r="A45" t="s">
        <v>240</v>
      </c>
      <c r="B45" t="s">
        <v>241</v>
      </c>
      <c r="C45" t="s">
        <v>242</v>
      </c>
      <c r="D45" s="19">
        <v>0.18753064925263541</v>
      </c>
      <c r="E45" s="19">
        <v>5.2575023063972312E-2</v>
      </c>
      <c r="F45" s="19">
        <v>4.9999999988103054E-2</v>
      </c>
      <c r="G45" s="19">
        <v>2.9222713243868693E-2</v>
      </c>
      <c r="H45" s="19"/>
      <c r="I45" s="19">
        <v>1.1146582591338263E-2</v>
      </c>
      <c r="J45" s="19">
        <v>4.4586330365353075E-2</v>
      </c>
      <c r="K45" s="20">
        <v>0.18753064925263546</v>
      </c>
      <c r="L45" s="20">
        <v>5.2575023063972312E-2</v>
      </c>
      <c r="M45" s="20"/>
      <c r="N45" s="20">
        <v>4.6421523107224631E-2</v>
      </c>
      <c r="O45" s="20"/>
      <c r="P45" s="20">
        <v>1.77068206162877E-2</v>
      </c>
      <c r="Q45" s="20">
        <v>7.0827282465150826E-2</v>
      </c>
    </row>
    <row r="46" spans="1:17" outlineLevel="1" x14ac:dyDescent="0.2">
      <c r="A46" t="s">
        <v>243</v>
      </c>
      <c r="B46" t="s">
        <v>244</v>
      </c>
      <c r="C46" t="s">
        <v>245</v>
      </c>
      <c r="D46" s="19">
        <v>0.18753064925263546</v>
      </c>
      <c r="E46" s="19">
        <v>5.2575023063972305E-2</v>
      </c>
      <c r="F46" s="19">
        <v>4.9999999988103047E-2</v>
      </c>
      <c r="G46" s="19">
        <v>2.9222713243868714E-2</v>
      </c>
      <c r="H46" s="19"/>
      <c r="I46" s="19">
        <v>1.1146582591338272E-2</v>
      </c>
      <c r="J46" s="19">
        <v>4.4586330365353116E-2</v>
      </c>
      <c r="K46" s="20">
        <v>0.18753064925263538</v>
      </c>
      <c r="L46" s="20">
        <v>5.2575023063972312E-2</v>
      </c>
      <c r="M46" s="20"/>
      <c r="N46" s="20">
        <v>4.642152310722461E-2</v>
      </c>
      <c r="O46" s="20"/>
      <c r="P46" s="20">
        <v>1.7706820616287689E-2</v>
      </c>
      <c r="Q46" s="20">
        <v>7.0827282465150784E-2</v>
      </c>
    </row>
    <row r="47" spans="1:17" outlineLevel="1" x14ac:dyDescent="0.2">
      <c r="A47" t="s">
        <v>246</v>
      </c>
      <c r="B47" t="s">
        <v>247</v>
      </c>
      <c r="C47" t="s">
        <v>248</v>
      </c>
      <c r="D47" s="19">
        <v>0.14753064925263537</v>
      </c>
      <c r="E47" s="19">
        <v>5.2575023063972312E-2</v>
      </c>
      <c r="F47" s="19">
        <v>4.9999999988103054E-2</v>
      </c>
      <c r="G47" s="19">
        <v>1.5463665349910099E-2</v>
      </c>
      <c r="H47" s="19"/>
      <c r="I47" s="19">
        <v>5.898392170129974E-3</v>
      </c>
      <c r="J47" s="19">
        <v>2.359356868051991E-2</v>
      </c>
      <c r="K47" s="20">
        <v>0.14753064925263537</v>
      </c>
      <c r="L47" s="20">
        <v>5.2575023063972305E-2</v>
      </c>
      <c r="M47" s="20"/>
      <c r="N47" s="20">
        <v>3.2662475213266033E-2</v>
      </c>
      <c r="O47" s="20"/>
      <c r="P47" s="20">
        <v>1.2458630195079399E-2</v>
      </c>
      <c r="Q47" s="20">
        <v>4.983452078031763E-2</v>
      </c>
    </row>
    <row r="48" spans="1:17" outlineLevel="1" x14ac:dyDescent="0.2">
      <c r="A48" t="s">
        <v>249</v>
      </c>
      <c r="B48" t="s">
        <v>250</v>
      </c>
      <c r="C48" t="s">
        <v>251</v>
      </c>
      <c r="D48" s="19">
        <v>0.18753064925263546</v>
      </c>
      <c r="E48" s="19">
        <v>5.2575023063972305E-2</v>
      </c>
      <c r="F48" s="19">
        <v>4.9999999988103054E-2</v>
      </c>
      <c r="G48" s="19">
        <v>2.9222713243868718E-2</v>
      </c>
      <c r="H48" s="19"/>
      <c r="I48" s="19">
        <v>1.1146582591338272E-2</v>
      </c>
      <c r="J48" s="19">
        <v>4.4586330365353109E-2</v>
      </c>
      <c r="K48" s="20">
        <v>0.18753064925263541</v>
      </c>
      <c r="L48" s="20">
        <v>5.2575023063972312E-2</v>
      </c>
      <c r="M48" s="20"/>
      <c r="N48" s="20">
        <v>4.6421523107224631E-2</v>
      </c>
      <c r="O48" s="20"/>
      <c r="P48" s="20">
        <v>1.7706820616287689E-2</v>
      </c>
      <c r="Q48" s="20">
        <v>7.0827282465150798E-2</v>
      </c>
    </row>
    <row r="49" spans="1:17" outlineLevel="1" x14ac:dyDescent="0.2">
      <c r="A49" t="s">
        <v>252</v>
      </c>
      <c r="B49" t="s">
        <v>253</v>
      </c>
      <c r="C49" t="s">
        <v>254</v>
      </c>
      <c r="D49" s="19">
        <v>0.18753064925263546</v>
      </c>
      <c r="E49" s="19">
        <v>5.2575023063972305E-2</v>
      </c>
      <c r="F49" s="19">
        <v>4.9999999988103047E-2</v>
      </c>
      <c r="G49" s="19">
        <v>2.9222713243868725E-2</v>
      </c>
      <c r="H49" s="19"/>
      <c r="I49" s="19">
        <v>1.1146582591338276E-2</v>
      </c>
      <c r="J49" s="19">
        <v>4.4586330365353116E-2</v>
      </c>
      <c r="K49" s="20">
        <v>0.18753064925263541</v>
      </c>
      <c r="L49" s="20">
        <v>5.2575023063972312E-2</v>
      </c>
      <c r="M49" s="20"/>
      <c r="N49" s="20">
        <v>4.642152310722461E-2</v>
      </c>
      <c r="O49" s="20"/>
      <c r="P49" s="20">
        <v>1.7706820616287689E-2</v>
      </c>
      <c r="Q49" s="20">
        <v>7.0827282465150784E-2</v>
      </c>
    </row>
    <row r="50" spans="1:17" outlineLevel="1" x14ac:dyDescent="0.2">
      <c r="A50" t="s">
        <v>255</v>
      </c>
      <c r="B50" t="s">
        <v>256</v>
      </c>
      <c r="C50" t="s">
        <v>257</v>
      </c>
      <c r="D50" s="19">
        <v>0.18753064925263538</v>
      </c>
      <c r="E50" s="19">
        <v>5.2575023063972312E-2</v>
      </c>
      <c r="F50" s="19">
        <v>4.9999999988103047E-2</v>
      </c>
      <c r="G50" s="19">
        <v>2.9222713243868693E-2</v>
      </c>
      <c r="H50" s="19"/>
      <c r="I50" s="19">
        <v>1.1146582591338265E-2</v>
      </c>
      <c r="J50" s="19">
        <v>4.4586330365353075E-2</v>
      </c>
      <c r="K50" s="20">
        <v>0.18753064925263543</v>
      </c>
      <c r="L50" s="20">
        <v>5.2575023063972312E-2</v>
      </c>
      <c r="M50" s="20"/>
      <c r="N50" s="20">
        <v>4.6421523107224617E-2</v>
      </c>
      <c r="O50" s="20"/>
      <c r="P50" s="20">
        <v>1.7706820616287689E-2</v>
      </c>
      <c r="Q50" s="20">
        <v>7.0827282465150798E-2</v>
      </c>
    </row>
    <row r="51" spans="1:17" outlineLevel="1" x14ac:dyDescent="0.2">
      <c r="A51" t="s">
        <v>258</v>
      </c>
      <c r="B51" t="s">
        <v>259</v>
      </c>
      <c r="C51" t="s">
        <v>260</v>
      </c>
      <c r="D51" s="19">
        <v>0.18753064925263541</v>
      </c>
      <c r="E51" s="19">
        <v>5.2575023063972312E-2</v>
      </c>
      <c r="F51" s="19">
        <v>4.9999999988103054E-2</v>
      </c>
      <c r="G51" s="19">
        <v>2.922271324386869E-2</v>
      </c>
      <c r="H51" s="19"/>
      <c r="I51" s="19">
        <v>1.1146582591338263E-2</v>
      </c>
      <c r="J51" s="19">
        <v>4.4586330365353075E-2</v>
      </c>
      <c r="K51" s="20">
        <v>0.18753064925263538</v>
      </c>
      <c r="L51" s="20">
        <v>5.2575023063972305E-2</v>
      </c>
      <c r="M51" s="20"/>
      <c r="N51" s="20">
        <v>4.6421523107224603E-2</v>
      </c>
      <c r="O51" s="20"/>
      <c r="P51" s="20">
        <v>1.7706820616287682E-2</v>
      </c>
      <c r="Q51" s="20">
        <v>7.0827282465150798E-2</v>
      </c>
    </row>
    <row r="52" spans="1:17" outlineLevel="1" x14ac:dyDescent="0.2">
      <c r="A52" t="s">
        <v>261</v>
      </c>
      <c r="B52" t="s">
        <v>262</v>
      </c>
      <c r="C52" t="s">
        <v>263</v>
      </c>
      <c r="D52" s="19">
        <v>0.18753064925263549</v>
      </c>
      <c r="E52" s="19">
        <v>5.2575023063972305E-2</v>
      </c>
      <c r="F52" s="19">
        <v>4.9999999988103047E-2</v>
      </c>
      <c r="G52" s="19">
        <v>2.9222713243868725E-2</v>
      </c>
      <c r="H52" s="19"/>
      <c r="I52" s="19">
        <v>1.1146582591338277E-2</v>
      </c>
      <c r="J52" s="19">
        <v>4.458633036535313E-2</v>
      </c>
      <c r="K52" s="20">
        <v>0.18753064925263543</v>
      </c>
      <c r="L52" s="20">
        <v>5.2575023063972312E-2</v>
      </c>
      <c r="M52" s="20"/>
      <c r="N52" s="20">
        <v>4.6421523107224631E-2</v>
      </c>
      <c r="O52" s="20"/>
      <c r="P52" s="20">
        <v>1.7706820616287696E-2</v>
      </c>
      <c r="Q52" s="20">
        <v>7.0827282465150826E-2</v>
      </c>
    </row>
    <row r="53" spans="1:17" outlineLevel="1" x14ac:dyDescent="0.2">
      <c r="A53" t="s">
        <v>264</v>
      </c>
      <c r="B53" t="s">
        <v>265</v>
      </c>
      <c r="C53" t="s">
        <v>266</v>
      </c>
      <c r="D53" s="19">
        <v>0.18753064925263541</v>
      </c>
      <c r="E53" s="19">
        <v>5.2575023063972312E-2</v>
      </c>
      <c r="F53" s="19">
        <v>4.9999999988103054E-2</v>
      </c>
      <c r="G53" s="19">
        <v>2.9222713243868697E-2</v>
      </c>
      <c r="H53" s="19"/>
      <c r="I53" s="19">
        <v>1.1146582591338267E-2</v>
      </c>
      <c r="J53" s="19">
        <v>4.4586330365353082E-2</v>
      </c>
      <c r="K53" s="20">
        <v>0.18753064925263546</v>
      </c>
      <c r="L53" s="20">
        <v>5.2575023063972319E-2</v>
      </c>
      <c r="M53" s="20"/>
      <c r="N53" s="20">
        <v>4.6421523107224638E-2</v>
      </c>
      <c r="O53" s="20"/>
      <c r="P53" s="20">
        <v>1.7706820616287693E-2</v>
      </c>
      <c r="Q53" s="20">
        <v>7.0827282465150812E-2</v>
      </c>
    </row>
    <row r="54" spans="1:17" outlineLevel="1" x14ac:dyDescent="0.2">
      <c r="A54" t="s">
        <v>267</v>
      </c>
      <c r="B54" t="s">
        <v>268</v>
      </c>
      <c r="C54" t="s">
        <v>269</v>
      </c>
      <c r="D54" s="19">
        <v>0.18753064925263543</v>
      </c>
      <c r="E54" s="19">
        <v>5.2575023063972319E-2</v>
      </c>
      <c r="F54" s="19">
        <v>4.9999999988103047E-2</v>
      </c>
      <c r="G54" s="19">
        <v>2.92227132438687E-2</v>
      </c>
      <c r="H54" s="19"/>
      <c r="I54" s="19">
        <v>1.1146582591338265E-2</v>
      </c>
      <c r="J54" s="19">
        <v>4.4586330365353082E-2</v>
      </c>
      <c r="K54" s="20">
        <v>0.18753064925263538</v>
      </c>
      <c r="L54" s="20">
        <v>5.2575023063972312E-2</v>
      </c>
      <c r="M54" s="20"/>
      <c r="N54" s="20">
        <v>4.6421523107224603E-2</v>
      </c>
      <c r="O54" s="20"/>
      <c r="P54" s="20">
        <v>1.7706820616287686E-2</v>
      </c>
      <c r="Q54" s="20">
        <v>7.082728246515077E-2</v>
      </c>
    </row>
    <row r="55" spans="1:17" outlineLevel="1" x14ac:dyDescent="0.2">
      <c r="A55" t="s">
        <v>270</v>
      </c>
      <c r="B55" t="s">
        <v>271</v>
      </c>
      <c r="C55" t="s">
        <v>272</v>
      </c>
      <c r="D55" s="19">
        <v>0.14753064925263534</v>
      </c>
      <c r="E55" s="19">
        <v>5.2575023063972305E-2</v>
      </c>
      <c r="F55" s="19">
        <v>4.9999999988103054E-2</v>
      </c>
      <c r="G55" s="19">
        <v>1.5463665349910099E-2</v>
      </c>
      <c r="H55" s="19"/>
      <c r="I55" s="19">
        <v>5.8983921701299758E-3</v>
      </c>
      <c r="J55" s="19">
        <v>2.3593568680519914E-2</v>
      </c>
      <c r="K55" s="20">
        <v>0.1475306492526354</v>
      </c>
      <c r="L55" s="20">
        <v>5.2575023063972312E-2</v>
      </c>
      <c r="M55" s="20"/>
      <c r="N55" s="20">
        <v>3.266247521326604E-2</v>
      </c>
      <c r="O55" s="20"/>
      <c r="P55" s="20">
        <v>1.2458630195079404E-2</v>
      </c>
      <c r="Q55" s="20">
        <v>4.9834520780317637E-2</v>
      </c>
    </row>
    <row r="56" spans="1:17" outlineLevel="1" x14ac:dyDescent="0.2">
      <c r="A56" t="s">
        <v>273</v>
      </c>
      <c r="B56" t="s">
        <v>274</v>
      </c>
      <c r="C56" t="s">
        <v>275</v>
      </c>
      <c r="D56" s="19">
        <v>0.14753064925263543</v>
      </c>
      <c r="E56" s="19">
        <v>5.2575023063972305E-2</v>
      </c>
      <c r="F56" s="19">
        <v>4.9999999988103047E-2</v>
      </c>
      <c r="G56" s="19">
        <v>1.546366534991013E-2</v>
      </c>
      <c r="H56" s="19"/>
      <c r="I56" s="19">
        <v>5.8983921701299853E-3</v>
      </c>
      <c r="J56" s="19">
        <v>2.3593568680519952E-2</v>
      </c>
      <c r="K56" s="20">
        <v>0.14753064925263532</v>
      </c>
      <c r="L56" s="20">
        <v>5.2575023063972305E-2</v>
      </c>
      <c r="M56" s="20"/>
      <c r="N56" s="20">
        <v>3.2662475213266026E-2</v>
      </c>
      <c r="O56" s="20"/>
      <c r="P56" s="20">
        <v>1.2458630195079395E-2</v>
      </c>
      <c r="Q56" s="20">
        <v>4.9834520780317602E-2</v>
      </c>
    </row>
    <row r="57" spans="1:17" outlineLevel="1" x14ac:dyDescent="0.2">
      <c r="A57" t="s">
        <v>276</v>
      </c>
      <c r="B57" t="s">
        <v>277</v>
      </c>
      <c r="C57" t="s">
        <v>278</v>
      </c>
      <c r="D57" s="19">
        <v>0.18753064925263546</v>
      </c>
      <c r="E57" s="19">
        <v>5.2575023063972312E-2</v>
      </c>
      <c r="F57" s="19">
        <v>4.9999999988103047E-2</v>
      </c>
      <c r="G57" s="19">
        <v>2.9222713243868714E-2</v>
      </c>
      <c r="H57" s="19"/>
      <c r="I57" s="19">
        <v>1.114658259133827E-2</v>
      </c>
      <c r="J57" s="19">
        <v>4.4586330365353102E-2</v>
      </c>
      <c r="K57" s="20">
        <v>0.18753064925263541</v>
      </c>
      <c r="L57" s="20">
        <v>5.2575023063972312E-2</v>
      </c>
      <c r="M57" s="20"/>
      <c r="N57" s="20">
        <v>4.6421523107224617E-2</v>
      </c>
      <c r="O57" s="20"/>
      <c r="P57" s="20">
        <v>1.7706820616287686E-2</v>
      </c>
      <c r="Q57" s="20">
        <v>7.082728246515077E-2</v>
      </c>
    </row>
    <row r="58" spans="1:17" outlineLevel="1" x14ac:dyDescent="0.2">
      <c r="A58" t="s">
        <v>279</v>
      </c>
      <c r="B58" t="s">
        <v>280</v>
      </c>
      <c r="C58" t="s">
        <v>281</v>
      </c>
      <c r="D58" s="19">
        <v>0.18753064925263543</v>
      </c>
      <c r="E58" s="19">
        <v>5.2575023063972312E-2</v>
      </c>
      <c r="F58" s="19">
        <v>4.9999999988103054E-2</v>
      </c>
      <c r="G58" s="19">
        <v>2.9222713243868707E-2</v>
      </c>
      <c r="H58" s="19"/>
      <c r="I58" s="19">
        <v>1.114658259133827E-2</v>
      </c>
      <c r="J58" s="19">
        <v>4.4586330365353095E-2</v>
      </c>
      <c r="K58" s="20">
        <v>0.18753064925263543</v>
      </c>
      <c r="L58" s="20">
        <v>5.2575023063972305E-2</v>
      </c>
      <c r="M58" s="20"/>
      <c r="N58" s="20">
        <v>4.6421523107224624E-2</v>
      </c>
      <c r="O58" s="20"/>
      <c r="P58" s="20">
        <v>1.7706820616287693E-2</v>
      </c>
      <c r="Q58" s="20">
        <v>7.0827282465150812E-2</v>
      </c>
    </row>
    <row r="59" spans="1:17" outlineLevel="1" x14ac:dyDescent="0.2">
      <c r="A59" t="s">
        <v>282</v>
      </c>
      <c r="B59" t="s">
        <v>283</v>
      </c>
      <c r="C59" t="s">
        <v>284</v>
      </c>
      <c r="D59" s="19">
        <v>0.18753064925263541</v>
      </c>
      <c r="E59" s="19">
        <v>5.2575023063972312E-2</v>
      </c>
      <c r="F59" s="19">
        <v>4.9999999988103054E-2</v>
      </c>
      <c r="G59" s="19">
        <v>2.9222713243868693E-2</v>
      </c>
      <c r="H59" s="19"/>
      <c r="I59" s="19">
        <v>1.1146582591338265E-2</v>
      </c>
      <c r="J59" s="19">
        <v>4.4586330365353082E-2</v>
      </c>
      <c r="K59" s="20">
        <v>0.18753064925263538</v>
      </c>
      <c r="L59" s="20">
        <v>5.2575023063972312E-2</v>
      </c>
      <c r="M59" s="20"/>
      <c r="N59" s="20">
        <v>4.6421523107224603E-2</v>
      </c>
      <c r="O59" s="20"/>
      <c r="P59" s="20">
        <v>1.7706820616287686E-2</v>
      </c>
      <c r="Q59" s="20">
        <v>7.082728246515077E-2</v>
      </c>
    </row>
    <row r="60" spans="1:17" outlineLevel="1" x14ac:dyDescent="0.2">
      <c r="A60" t="s">
        <v>285</v>
      </c>
      <c r="B60" t="s">
        <v>286</v>
      </c>
      <c r="C60" t="s">
        <v>287</v>
      </c>
      <c r="D60" s="19">
        <v>0.18753064925263541</v>
      </c>
      <c r="E60" s="19">
        <v>5.2575023063972312E-2</v>
      </c>
      <c r="F60" s="19">
        <v>4.9999999988103047E-2</v>
      </c>
      <c r="G60" s="19">
        <v>2.9222713243868693E-2</v>
      </c>
      <c r="H60" s="19"/>
      <c r="I60" s="19">
        <v>1.1146582591338265E-2</v>
      </c>
      <c r="J60" s="19">
        <v>4.4586330365353082E-2</v>
      </c>
      <c r="K60" s="20">
        <v>0.18753064925263538</v>
      </c>
      <c r="L60" s="20">
        <v>5.2575023063972312E-2</v>
      </c>
      <c r="M60" s="20"/>
      <c r="N60" s="20">
        <v>4.6421523107224617E-2</v>
      </c>
      <c r="O60" s="20"/>
      <c r="P60" s="20">
        <v>1.7706820616287689E-2</v>
      </c>
      <c r="Q60" s="20">
        <v>7.0827282465150784E-2</v>
      </c>
    </row>
    <row r="61" spans="1:17" outlineLevel="1" x14ac:dyDescent="0.2">
      <c r="A61" t="s">
        <v>288</v>
      </c>
      <c r="B61" t="s">
        <v>289</v>
      </c>
      <c r="C61" t="s">
        <v>290</v>
      </c>
      <c r="D61" s="19">
        <v>0.14753064925263543</v>
      </c>
      <c r="E61" s="19">
        <v>5.2575023063972312E-2</v>
      </c>
      <c r="F61" s="19">
        <v>4.9999999988103054E-2</v>
      </c>
      <c r="G61" s="19">
        <v>1.5463665349910121E-2</v>
      </c>
      <c r="H61" s="19"/>
      <c r="I61" s="19">
        <v>5.8983921701299836E-3</v>
      </c>
      <c r="J61" s="19">
        <v>2.3593568680519945E-2</v>
      </c>
      <c r="K61" s="20">
        <v>0.1475306492526354</v>
      </c>
      <c r="L61" s="20">
        <v>5.2575023063972319E-2</v>
      </c>
      <c r="M61" s="20"/>
      <c r="N61" s="20">
        <v>3.266247521326604E-2</v>
      </c>
      <c r="O61" s="20"/>
      <c r="P61" s="20">
        <v>1.2458630195079401E-2</v>
      </c>
      <c r="Q61" s="20">
        <v>4.9834520780317623E-2</v>
      </c>
    </row>
    <row r="62" spans="1:17" outlineLevel="1" x14ac:dyDescent="0.2">
      <c r="A62" t="s">
        <v>291</v>
      </c>
      <c r="B62" t="s">
        <v>292</v>
      </c>
      <c r="C62" t="s">
        <v>293</v>
      </c>
      <c r="D62" s="19">
        <v>0.18753064925263546</v>
      </c>
      <c r="E62" s="19">
        <v>5.2575023063972312E-2</v>
      </c>
      <c r="F62" s="19">
        <v>4.9999999988103061E-2</v>
      </c>
      <c r="G62" s="19">
        <v>2.9222713243868718E-2</v>
      </c>
      <c r="H62" s="19"/>
      <c r="I62" s="19">
        <v>1.1146582591338276E-2</v>
      </c>
      <c r="J62" s="19">
        <v>4.4586330365353123E-2</v>
      </c>
      <c r="K62" s="20">
        <v>0.18753064925263541</v>
      </c>
      <c r="L62" s="20">
        <v>5.2575023063972312E-2</v>
      </c>
      <c r="M62" s="20"/>
      <c r="N62" s="20">
        <v>4.642152310722461E-2</v>
      </c>
      <c r="O62" s="20"/>
      <c r="P62" s="20">
        <v>1.7706820616287689E-2</v>
      </c>
      <c r="Q62" s="20">
        <v>7.0827282465150798E-2</v>
      </c>
    </row>
    <row r="63" spans="1:17" outlineLevel="1" x14ac:dyDescent="0.2">
      <c r="A63" t="s">
        <v>294</v>
      </c>
      <c r="B63" t="s">
        <v>295</v>
      </c>
      <c r="C63" t="s">
        <v>296</v>
      </c>
      <c r="D63" s="19">
        <v>2.7530649252635337E-2</v>
      </c>
      <c r="E63" s="19">
        <v>5.2575023063972305E-2</v>
      </c>
      <c r="F63" s="19">
        <v>4.9999999988103054E-2</v>
      </c>
      <c r="G63" s="19">
        <v>-2.581347833196564E-2</v>
      </c>
      <c r="H63" s="19"/>
      <c r="I63" s="19">
        <v>-9.8461790934948716E-3</v>
      </c>
      <c r="J63" s="19">
        <v>-3.9384716373979521E-2</v>
      </c>
      <c r="K63" s="20">
        <v>2.7530649252635441E-2</v>
      </c>
      <c r="L63" s="20">
        <v>5.2575023063972312E-2</v>
      </c>
      <c r="M63" s="20"/>
      <c r="N63" s="20">
        <v>-8.6146684686096431E-3</v>
      </c>
      <c r="O63" s="20"/>
      <c r="P63" s="20">
        <v>-3.285941068545445E-3</v>
      </c>
      <c r="Q63" s="20">
        <v>-1.3143764274181785E-2</v>
      </c>
    </row>
    <row r="64" spans="1:17" outlineLevel="1" x14ac:dyDescent="0.2">
      <c r="B64" t="s">
        <v>297</v>
      </c>
      <c r="C64" t="s">
        <v>298</v>
      </c>
      <c r="D64" s="19"/>
      <c r="E64" s="19"/>
      <c r="F64" s="19"/>
      <c r="G64" s="19"/>
      <c r="H64" s="19"/>
      <c r="I64" s="19"/>
      <c r="J64" s="19"/>
      <c r="K64" s="20">
        <v>0.14753064925263543</v>
      </c>
      <c r="L64" s="20">
        <v>5.2575023063972312E-2</v>
      </c>
      <c r="M64" s="20"/>
      <c r="N64" s="20">
        <v>3.2662475213266054E-2</v>
      </c>
      <c r="O64" s="20"/>
      <c r="P64" s="20">
        <v>1.2458630195079406E-2</v>
      </c>
      <c r="Q64" s="20">
        <v>4.9834520780317651E-2</v>
      </c>
    </row>
    <row r="65" spans="1:17" outlineLevel="1" x14ac:dyDescent="0.2">
      <c r="B65" t="s">
        <v>299</v>
      </c>
      <c r="C65" t="s">
        <v>300</v>
      </c>
      <c r="D65" s="19"/>
      <c r="E65" s="19"/>
      <c r="F65" s="19"/>
      <c r="G65" s="19"/>
      <c r="H65" s="19"/>
      <c r="I65" s="19"/>
      <c r="J65" s="19"/>
      <c r="K65" s="20">
        <v>0.18753064925263541</v>
      </c>
      <c r="L65" s="20">
        <v>5.2575023063972312E-2</v>
      </c>
      <c r="M65" s="20"/>
      <c r="N65" s="20">
        <v>4.642152310722461E-2</v>
      </c>
      <c r="O65" s="20"/>
      <c r="P65" s="20">
        <v>1.7706820616287693E-2</v>
      </c>
      <c r="Q65" s="20">
        <v>7.0827282465150798E-2</v>
      </c>
    </row>
    <row r="66" spans="1:17" outlineLevel="1" x14ac:dyDescent="0.2">
      <c r="A66" t="s">
        <v>301</v>
      </c>
      <c r="B66" t="s">
        <v>302</v>
      </c>
      <c r="C66" t="s">
        <v>303</v>
      </c>
      <c r="D66" s="19">
        <v>0.18753064925263538</v>
      </c>
      <c r="E66" s="19">
        <v>5.2575023063972312E-2</v>
      </c>
      <c r="F66" s="19">
        <v>4.9999999988103054E-2</v>
      </c>
      <c r="G66" s="19">
        <v>2.9222713243868683E-2</v>
      </c>
      <c r="H66" s="19"/>
      <c r="I66" s="19">
        <v>1.1146582591338262E-2</v>
      </c>
      <c r="J66" s="19">
        <v>4.4586330365353061E-2</v>
      </c>
      <c r="K66" s="20">
        <v>0.16753064925263536</v>
      </c>
      <c r="L66" s="20">
        <v>5.2575023063972312E-2</v>
      </c>
      <c r="M66" s="20"/>
      <c r="N66" s="20">
        <v>3.9541999160245318E-2</v>
      </c>
      <c r="O66" s="20"/>
      <c r="P66" s="20">
        <v>1.5082725405683539E-2</v>
      </c>
      <c r="Q66" s="20">
        <v>6.0330901622734197E-2</v>
      </c>
    </row>
    <row r="67" spans="1:17" outlineLevel="1" x14ac:dyDescent="0.2">
      <c r="A67" t="s">
        <v>304</v>
      </c>
      <c r="B67" t="s">
        <v>305</v>
      </c>
      <c r="C67" t="s">
        <v>306</v>
      </c>
      <c r="D67" s="19">
        <v>2.7530649252635393E-2</v>
      </c>
      <c r="E67" s="19">
        <v>5.2575023063972312E-2</v>
      </c>
      <c r="F67" s="19">
        <v>4.9999999988103054E-2</v>
      </c>
      <c r="G67" s="19">
        <v>-2.5813478331965622E-2</v>
      </c>
      <c r="H67" s="19"/>
      <c r="I67" s="19">
        <v>-9.8461790934948664E-3</v>
      </c>
      <c r="J67" s="19">
        <v>-3.9384716373979479E-2</v>
      </c>
      <c r="K67" s="20">
        <v>2.7530649252635441E-2</v>
      </c>
      <c r="L67" s="20">
        <v>5.2575023063972312E-2</v>
      </c>
      <c r="M67" s="20"/>
      <c r="N67" s="20">
        <v>-8.6146684686096413E-3</v>
      </c>
      <c r="O67" s="20"/>
      <c r="P67" s="20">
        <v>-3.285941068545445E-3</v>
      </c>
      <c r="Q67" s="20">
        <v>-1.3143764274181789E-2</v>
      </c>
    </row>
    <row r="68" spans="1:17" outlineLevel="1" x14ac:dyDescent="0.2">
      <c r="A68" t="s">
        <v>307</v>
      </c>
      <c r="B68" t="s">
        <v>308</v>
      </c>
      <c r="C68" t="s">
        <v>309</v>
      </c>
      <c r="D68" s="19">
        <v>2.7530649252635347E-2</v>
      </c>
      <c r="E68" s="19">
        <v>5.2575023063972305E-2</v>
      </c>
      <c r="F68" s="19">
        <v>4.9999999988103047E-2</v>
      </c>
      <c r="G68" s="19">
        <v>-2.5813478331965633E-2</v>
      </c>
      <c r="H68" s="19"/>
      <c r="I68" s="19">
        <v>-9.8461790934948733E-3</v>
      </c>
      <c r="J68" s="19">
        <v>-3.9384716373979507E-2</v>
      </c>
      <c r="K68" s="20">
        <v>2.7530649252635396E-2</v>
      </c>
      <c r="L68" s="20">
        <v>5.2575023063972305E-2</v>
      </c>
      <c r="M68" s="20"/>
      <c r="N68" s="20">
        <v>-8.6146684686096552E-3</v>
      </c>
      <c r="O68" s="20"/>
      <c r="P68" s="20">
        <v>-3.2859410685454507E-3</v>
      </c>
      <c r="Q68" s="20">
        <v>-1.3143764274181808E-2</v>
      </c>
    </row>
    <row r="69" spans="1:17" outlineLevel="1" x14ac:dyDescent="0.2">
      <c r="A69" t="s">
        <v>310</v>
      </c>
      <c r="B69" t="s">
        <v>311</v>
      </c>
      <c r="C69" t="s">
        <v>312</v>
      </c>
      <c r="D69" s="19">
        <v>2.7530649252635323E-2</v>
      </c>
      <c r="E69" s="19">
        <v>5.2575023063972312E-2</v>
      </c>
      <c r="F69" s="19">
        <v>4.9999999988103054E-2</v>
      </c>
      <c r="G69" s="19">
        <v>-2.5813478331965643E-2</v>
      </c>
      <c r="H69" s="19"/>
      <c r="I69" s="19">
        <v>-9.8461790934948768E-3</v>
      </c>
      <c r="J69" s="19">
        <v>-3.9384716373979521E-2</v>
      </c>
      <c r="K69" s="20">
        <v>2.7530649252635434E-2</v>
      </c>
      <c r="L69" s="20">
        <v>5.2575023063972305E-2</v>
      </c>
      <c r="M69" s="20"/>
      <c r="N69" s="20">
        <v>-8.6146684686096413E-3</v>
      </c>
      <c r="O69" s="20"/>
      <c r="P69" s="20">
        <v>-3.2859410685454442E-3</v>
      </c>
      <c r="Q69" s="20">
        <v>-1.3143764274181784E-2</v>
      </c>
    </row>
    <row r="70" spans="1:17" outlineLevel="1" x14ac:dyDescent="0.2">
      <c r="A70" t="s">
        <v>313</v>
      </c>
      <c r="B70" t="s">
        <v>314</v>
      </c>
      <c r="C70" t="s">
        <v>315</v>
      </c>
      <c r="D70" s="19">
        <v>0.1475306492526354</v>
      </c>
      <c r="E70" s="19">
        <v>5.2575023063972312E-2</v>
      </c>
      <c r="F70" s="19">
        <v>4.9999999988103054E-2</v>
      </c>
      <c r="G70" s="19">
        <v>1.546366534991012E-2</v>
      </c>
      <c r="H70" s="19"/>
      <c r="I70" s="19">
        <v>5.8983921701299827E-3</v>
      </c>
      <c r="J70" s="19">
        <v>2.3593568680519945E-2</v>
      </c>
      <c r="K70" s="20">
        <v>0.1475306492526354</v>
      </c>
      <c r="L70" s="20">
        <v>5.2575023063972312E-2</v>
      </c>
      <c r="M70" s="20"/>
      <c r="N70" s="20">
        <v>3.2662475213266047E-2</v>
      </c>
      <c r="O70" s="20"/>
      <c r="P70" s="20">
        <v>1.2458630195079402E-2</v>
      </c>
      <c r="Q70" s="20">
        <v>4.9834520780317637E-2</v>
      </c>
    </row>
    <row r="71" spans="1:17" outlineLevel="1" x14ac:dyDescent="0.2">
      <c r="A71" t="s">
        <v>316</v>
      </c>
      <c r="B71" t="s">
        <v>317</v>
      </c>
      <c r="C71" t="s">
        <v>318</v>
      </c>
      <c r="D71" s="19">
        <v>0.14753064925263534</v>
      </c>
      <c r="E71" s="19">
        <v>5.2575023063972319E-2</v>
      </c>
      <c r="F71" s="19">
        <v>4.9999999988103047E-2</v>
      </c>
      <c r="G71" s="19">
        <v>1.5463665349910101E-2</v>
      </c>
      <c r="H71" s="19"/>
      <c r="I71" s="19">
        <v>5.8983921701299758E-3</v>
      </c>
      <c r="J71" s="19">
        <v>2.3593568680519917E-2</v>
      </c>
      <c r="K71" s="20">
        <v>0.14753064925263543</v>
      </c>
      <c r="L71" s="20">
        <v>5.2575023063972305E-2</v>
      </c>
      <c r="M71" s="20"/>
      <c r="N71" s="20">
        <v>3.2662475213266061E-2</v>
      </c>
      <c r="O71" s="20"/>
      <c r="P71" s="20">
        <v>1.2458630195079409E-2</v>
      </c>
      <c r="Q71" s="20">
        <v>4.9834520780317658E-2</v>
      </c>
    </row>
    <row r="72" spans="1:17" outlineLevel="1" x14ac:dyDescent="0.2">
      <c r="A72" t="s">
        <v>319</v>
      </c>
      <c r="B72" t="s">
        <v>320</v>
      </c>
      <c r="C72" t="s">
        <v>321</v>
      </c>
      <c r="D72" s="19">
        <v>0.1475306492526354</v>
      </c>
      <c r="E72" s="19">
        <v>5.2575023063972312E-2</v>
      </c>
      <c r="F72" s="19">
        <v>4.9999999988103047E-2</v>
      </c>
      <c r="G72" s="19">
        <v>1.5463665349910116E-2</v>
      </c>
      <c r="H72" s="19"/>
      <c r="I72" s="19">
        <v>5.8983921701299827E-3</v>
      </c>
      <c r="J72" s="19">
        <v>2.3593568680519941E-2</v>
      </c>
      <c r="K72" s="20">
        <v>0.1475306492526354</v>
      </c>
      <c r="L72" s="20">
        <v>5.2575023063972312E-2</v>
      </c>
      <c r="M72" s="20"/>
      <c r="N72" s="20">
        <v>3.2662475213266047E-2</v>
      </c>
      <c r="O72" s="20"/>
      <c r="P72" s="20">
        <v>1.2458630195079404E-2</v>
      </c>
      <c r="Q72" s="20">
        <v>4.9834520780317644E-2</v>
      </c>
    </row>
    <row r="73" spans="1:17" outlineLevel="1" x14ac:dyDescent="0.2">
      <c r="A73" t="s">
        <v>322</v>
      </c>
      <c r="B73" t="s">
        <v>323</v>
      </c>
      <c r="C73" t="s">
        <v>75</v>
      </c>
      <c r="D73" s="19">
        <v>0.18753064925263546</v>
      </c>
      <c r="E73" s="19">
        <v>5.2575023063972312E-2</v>
      </c>
      <c r="F73" s="19">
        <v>4.9999999988103054E-2</v>
      </c>
      <c r="G73" s="19">
        <v>2.9222713243868711E-2</v>
      </c>
      <c r="H73" s="19"/>
      <c r="I73" s="19">
        <v>1.114658259133827E-2</v>
      </c>
      <c r="J73" s="19">
        <v>4.4586330365353109E-2</v>
      </c>
      <c r="K73" s="20">
        <v>0.18753064925263535</v>
      </c>
      <c r="L73" s="20">
        <v>5.2575023063972305E-2</v>
      </c>
      <c r="M73" s="20"/>
      <c r="N73" s="20">
        <v>4.642152310722459E-2</v>
      </c>
      <c r="O73" s="20"/>
      <c r="P73" s="20">
        <v>1.7706820616287682E-2</v>
      </c>
      <c r="Q73" s="20">
        <v>7.0827282465150757E-2</v>
      </c>
    </row>
    <row r="74" spans="1:17" outlineLevel="1" x14ac:dyDescent="0.2">
      <c r="A74" t="s">
        <v>324</v>
      </c>
      <c r="B74" t="s">
        <v>325</v>
      </c>
      <c r="C74" t="s">
        <v>326</v>
      </c>
      <c r="D74" s="19">
        <v>0.18753064925263538</v>
      </c>
      <c r="E74" s="19">
        <v>5.2575023063972305E-2</v>
      </c>
      <c r="F74" s="19">
        <v>4.9999999988103054E-2</v>
      </c>
      <c r="G74" s="19">
        <v>2.922271324386869E-2</v>
      </c>
      <c r="H74" s="19"/>
      <c r="I74" s="19">
        <v>1.1146582591338263E-2</v>
      </c>
      <c r="J74" s="19">
        <v>4.4586330365353075E-2</v>
      </c>
      <c r="K74" s="20">
        <v>0.18753064925263535</v>
      </c>
      <c r="L74" s="20">
        <v>5.2575023063972312E-2</v>
      </c>
      <c r="M74" s="20"/>
      <c r="N74" s="20">
        <v>4.6421523107224597E-2</v>
      </c>
      <c r="O74" s="20"/>
      <c r="P74" s="20">
        <v>1.7706820616287686E-2</v>
      </c>
      <c r="Q74" s="20">
        <v>7.082728246515077E-2</v>
      </c>
    </row>
    <row r="75" spans="1:17" outlineLevel="1" x14ac:dyDescent="0.2">
      <c r="A75" t="s">
        <v>327</v>
      </c>
      <c r="B75" t="s">
        <v>328</v>
      </c>
      <c r="C75" t="s">
        <v>329</v>
      </c>
      <c r="D75" s="19">
        <v>0.18753064925263538</v>
      </c>
      <c r="E75" s="19">
        <v>5.2575023063972312E-2</v>
      </c>
      <c r="F75" s="19">
        <v>4.9999999988103047E-2</v>
      </c>
      <c r="G75" s="19">
        <v>2.922271324386869E-2</v>
      </c>
      <c r="H75" s="19"/>
      <c r="I75" s="19">
        <v>1.1146582591338263E-2</v>
      </c>
      <c r="J75" s="19">
        <v>4.4586330365353075E-2</v>
      </c>
      <c r="K75" s="20">
        <v>0.18753064925263538</v>
      </c>
      <c r="L75" s="20">
        <v>5.2575023063972312E-2</v>
      </c>
      <c r="M75" s="20"/>
      <c r="N75" s="20">
        <v>4.6421523107224597E-2</v>
      </c>
      <c r="O75" s="20"/>
      <c r="P75" s="20">
        <v>1.7706820616287686E-2</v>
      </c>
      <c r="Q75" s="20">
        <v>7.082728246515077E-2</v>
      </c>
    </row>
    <row r="76" spans="1:17" outlineLevel="1" x14ac:dyDescent="0.2">
      <c r="A76" t="s">
        <v>330</v>
      </c>
      <c r="B76" t="s">
        <v>331</v>
      </c>
      <c r="C76" t="s">
        <v>332</v>
      </c>
      <c r="D76" s="19">
        <v>0.18753064925263543</v>
      </c>
      <c r="E76" s="19">
        <v>5.2575023063972312E-2</v>
      </c>
      <c r="F76" s="19">
        <v>4.9999999988103054E-2</v>
      </c>
      <c r="G76" s="19">
        <v>2.9222713243868704E-2</v>
      </c>
      <c r="H76" s="19"/>
      <c r="I76" s="19">
        <v>1.114658259133827E-2</v>
      </c>
      <c r="J76" s="19">
        <v>4.4586330365353102E-2</v>
      </c>
      <c r="K76" s="20">
        <v>0.18753064925263538</v>
      </c>
      <c r="L76" s="20">
        <v>5.2575023063972305E-2</v>
      </c>
      <c r="M76" s="20"/>
      <c r="N76" s="20">
        <v>4.6421523107224603E-2</v>
      </c>
      <c r="O76" s="20"/>
      <c r="P76" s="20">
        <v>1.7706820616287686E-2</v>
      </c>
      <c r="Q76" s="20">
        <v>7.0827282465150784E-2</v>
      </c>
    </row>
    <row r="77" spans="1:17" outlineLevel="1" x14ac:dyDescent="0.2">
      <c r="A77" t="s">
        <v>333</v>
      </c>
      <c r="B77" t="s">
        <v>334</v>
      </c>
      <c r="C77" t="s">
        <v>335</v>
      </c>
      <c r="D77" s="19">
        <v>0.18753064925263541</v>
      </c>
      <c r="E77" s="19">
        <v>5.2575023063972305E-2</v>
      </c>
      <c r="F77" s="19">
        <v>4.9999999988103047E-2</v>
      </c>
      <c r="G77" s="19">
        <v>2.9222713243868704E-2</v>
      </c>
      <c r="H77" s="19"/>
      <c r="I77" s="19">
        <v>1.1146582591338269E-2</v>
      </c>
      <c r="J77" s="19">
        <v>4.4586330365353095E-2</v>
      </c>
      <c r="K77" s="20">
        <v>0.18753064925263538</v>
      </c>
      <c r="L77" s="20">
        <v>5.2575023063972312E-2</v>
      </c>
      <c r="M77" s="20"/>
      <c r="N77" s="20">
        <v>4.642152310722461E-2</v>
      </c>
      <c r="O77" s="20"/>
      <c r="P77" s="20">
        <v>1.7706820616287686E-2</v>
      </c>
      <c r="Q77" s="20">
        <v>7.082728246515077E-2</v>
      </c>
    </row>
    <row r="78" spans="1:17" outlineLevel="1" x14ac:dyDescent="0.2">
      <c r="A78" t="s">
        <v>336</v>
      </c>
      <c r="B78" t="s">
        <v>337</v>
      </c>
      <c r="C78" t="s">
        <v>338</v>
      </c>
      <c r="D78" s="19">
        <v>0.18753064925263543</v>
      </c>
      <c r="E78" s="19">
        <v>5.2575023063972312E-2</v>
      </c>
      <c r="F78" s="19">
        <v>4.9999999988103054E-2</v>
      </c>
      <c r="G78" s="19">
        <v>2.9222713243868704E-2</v>
      </c>
      <c r="H78" s="19"/>
      <c r="I78" s="19">
        <v>1.1146582591338269E-2</v>
      </c>
      <c r="J78" s="19">
        <v>4.4586330365353095E-2</v>
      </c>
      <c r="K78" s="20">
        <v>0.18753064925263538</v>
      </c>
      <c r="L78" s="20">
        <v>5.2575023063972312E-2</v>
      </c>
      <c r="M78" s="20"/>
      <c r="N78" s="20">
        <v>4.6421523107224603E-2</v>
      </c>
      <c r="O78" s="20"/>
      <c r="P78" s="20">
        <v>1.7706820616287689E-2</v>
      </c>
      <c r="Q78" s="20">
        <v>7.0827282465150784E-2</v>
      </c>
    </row>
    <row r="79" spans="1:17" outlineLevel="1" x14ac:dyDescent="0.2">
      <c r="A79" t="s">
        <v>339</v>
      </c>
      <c r="B79" t="s">
        <v>340</v>
      </c>
      <c r="C79" t="s">
        <v>341</v>
      </c>
      <c r="D79" s="19">
        <v>0.18753064925263549</v>
      </c>
      <c r="E79" s="19">
        <v>5.2575023063972312E-2</v>
      </c>
      <c r="F79" s="19">
        <v>4.9999999988103054E-2</v>
      </c>
      <c r="G79" s="19">
        <v>2.9222713243868728E-2</v>
      </c>
      <c r="H79" s="19"/>
      <c r="I79" s="19">
        <v>1.1146582591338274E-2</v>
      </c>
      <c r="J79" s="19">
        <v>4.4586330365353123E-2</v>
      </c>
      <c r="K79" s="20">
        <v>0.18753064925263541</v>
      </c>
      <c r="L79" s="20">
        <v>5.2575023063972305E-2</v>
      </c>
      <c r="M79" s="20"/>
      <c r="N79" s="20">
        <v>4.642152310722461E-2</v>
      </c>
      <c r="O79" s="20"/>
      <c r="P79" s="20">
        <v>1.7706820616287689E-2</v>
      </c>
      <c r="Q79" s="20">
        <v>7.0827282465150798E-2</v>
      </c>
    </row>
    <row r="80" spans="1:17" outlineLevel="1" x14ac:dyDescent="0.2">
      <c r="A80" t="s">
        <v>342</v>
      </c>
      <c r="B80" t="s">
        <v>343</v>
      </c>
      <c r="C80" t="s">
        <v>344</v>
      </c>
      <c r="D80" s="19">
        <v>0.18753064925263546</v>
      </c>
      <c r="E80" s="19">
        <v>5.2575023063972312E-2</v>
      </c>
      <c r="F80" s="19">
        <v>4.9999999988103054E-2</v>
      </c>
      <c r="G80" s="19">
        <v>2.9222713243868707E-2</v>
      </c>
      <c r="H80" s="19"/>
      <c r="I80" s="19">
        <v>1.1146582591338272E-2</v>
      </c>
      <c r="J80" s="19">
        <v>4.4586330365353102E-2</v>
      </c>
      <c r="K80" s="20">
        <v>0.18753064925263549</v>
      </c>
      <c r="L80" s="20">
        <v>5.2575023063972312E-2</v>
      </c>
      <c r="M80" s="20"/>
      <c r="N80" s="20">
        <v>4.6421523107224645E-2</v>
      </c>
      <c r="O80" s="20"/>
      <c r="P80" s="20">
        <v>1.7706820616287703E-2</v>
      </c>
      <c r="Q80" s="20">
        <v>7.082728246515084E-2</v>
      </c>
    </row>
    <row r="81" spans="1:17" outlineLevel="1" x14ac:dyDescent="0.2">
      <c r="A81" t="s">
        <v>345</v>
      </c>
      <c r="B81" t="s">
        <v>346</v>
      </c>
      <c r="C81" t="s">
        <v>347</v>
      </c>
      <c r="D81" s="19">
        <v>0.18753064925263546</v>
      </c>
      <c r="E81" s="19">
        <v>5.2575023063972312E-2</v>
      </c>
      <c r="F81" s="19">
        <v>4.9999999988103054E-2</v>
      </c>
      <c r="G81" s="19">
        <v>2.9222713243868714E-2</v>
      </c>
      <c r="H81" s="19"/>
      <c r="I81" s="19">
        <v>1.1146582591338272E-2</v>
      </c>
      <c r="J81" s="19">
        <v>4.4586330365353109E-2</v>
      </c>
      <c r="K81" s="20">
        <v>0.18753064925263546</v>
      </c>
      <c r="L81" s="20">
        <v>5.2575023063972312E-2</v>
      </c>
      <c r="M81" s="20"/>
      <c r="N81" s="20">
        <v>4.6421523107224631E-2</v>
      </c>
      <c r="O81" s="20"/>
      <c r="P81" s="20">
        <v>1.7706820616287693E-2</v>
      </c>
      <c r="Q81" s="20">
        <v>7.0827282465150812E-2</v>
      </c>
    </row>
    <row r="82" spans="1:17" outlineLevel="1" x14ac:dyDescent="0.2">
      <c r="A82" t="s">
        <v>348</v>
      </c>
      <c r="B82" t="s">
        <v>349</v>
      </c>
      <c r="C82" t="s">
        <v>350</v>
      </c>
      <c r="D82" s="19">
        <v>0.18753064925263546</v>
      </c>
      <c r="E82" s="19">
        <v>5.2575023063972312E-2</v>
      </c>
      <c r="F82" s="19">
        <v>4.9999999988103047E-2</v>
      </c>
      <c r="G82" s="19">
        <v>2.9222713243868725E-2</v>
      </c>
      <c r="H82" s="19"/>
      <c r="I82" s="19">
        <v>1.1146582591338274E-2</v>
      </c>
      <c r="J82" s="19">
        <v>4.4586330365353116E-2</v>
      </c>
      <c r="K82" s="20">
        <v>0.18753064925263546</v>
      </c>
      <c r="L82" s="20">
        <v>5.2575023063972312E-2</v>
      </c>
      <c r="M82" s="20"/>
      <c r="N82" s="20">
        <v>4.6421523107224631E-2</v>
      </c>
      <c r="O82" s="20"/>
      <c r="P82" s="20">
        <v>1.7706820616287696E-2</v>
      </c>
      <c r="Q82" s="20">
        <v>7.0827282465150826E-2</v>
      </c>
    </row>
    <row r="83" spans="1:17" outlineLevel="1" x14ac:dyDescent="0.2">
      <c r="A83" t="s">
        <v>351</v>
      </c>
      <c r="B83" t="s">
        <v>352</v>
      </c>
      <c r="C83" t="s">
        <v>353</v>
      </c>
      <c r="D83" s="19">
        <v>0.18753064925263549</v>
      </c>
      <c r="E83" s="19">
        <v>5.2575023063972312E-2</v>
      </c>
      <c r="F83" s="19">
        <v>4.9999999988103054E-2</v>
      </c>
      <c r="G83" s="19">
        <v>2.9222713243868721E-2</v>
      </c>
      <c r="H83" s="19"/>
      <c r="I83" s="19">
        <v>1.1146582591338274E-2</v>
      </c>
      <c r="J83" s="19">
        <v>4.4586330365353116E-2</v>
      </c>
      <c r="K83" s="20">
        <v>0.18753064925263535</v>
      </c>
      <c r="L83" s="20">
        <v>5.2575023063972312E-2</v>
      </c>
      <c r="M83" s="20"/>
      <c r="N83" s="20">
        <v>4.6421523107224597E-2</v>
      </c>
      <c r="O83" s="20"/>
      <c r="P83" s="20">
        <v>1.7706820616287686E-2</v>
      </c>
      <c r="Q83" s="20">
        <v>7.082728246515077E-2</v>
      </c>
    </row>
    <row r="84" spans="1:17" outlineLevel="1" x14ac:dyDescent="0.2">
      <c r="A84" t="s">
        <v>354</v>
      </c>
      <c r="B84" t="s">
        <v>355</v>
      </c>
      <c r="C84" t="s">
        <v>356</v>
      </c>
      <c r="D84" s="19">
        <v>0.18753064925263538</v>
      </c>
      <c r="E84" s="19">
        <v>5.2575023063972312E-2</v>
      </c>
      <c r="F84" s="19">
        <v>4.9999999988103054E-2</v>
      </c>
      <c r="G84" s="19">
        <v>2.9222713243868687E-2</v>
      </c>
      <c r="H84" s="19"/>
      <c r="I84" s="19">
        <v>1.114658259133826E-2</v>
      </c>
      <c r="J84" s="19">
        <v>4.4586330365353068E-2</v>
      </c>
      <c r="K84" s="20">
        <v>0.18753064925263541</v>
      </c>
      <c r="L84" s="20">
        <v>5.2575023063972312E-2</v>
      </c>
      <c r="M84" s="20"/>
      <c r="N84" s="20">
        <v>4.6421523107224617E-2</v>
      </c>
      <c r="O84" s="20"/>
      <c r="P84" s="20">
        <v>1.7706820616287689E-2</v>
      </c>
      <c r="Q84" s="20">
        <v>7.0827282465150784E-2</v>
      </c>
    </row>
    <row r="85" spans="1:17" outlineLevel="1" x14ac:dyDescent="0.2">
      <c r="A85" t="s">
        <v>357</v>
      </c>
      <c r="B85" t="s">
        <v>358</v>
      </c>
      <c r="C85" t="s">
        <v>359</v>
      </c>
      <c r="D85" s="19">
        <v>0.18753064925263546</v>
      </c>
      <c r="E85" s="19">
        <v>5.2575023063972312E-2</v>
      </c>
      <c r="F85" s="19">
        <v>4.9999999988103054E-2</v>
      </c>
      <c r="G85" s="19">
        <v>2.9222713243868714E-2</v>
      </c>
      <c r="H85" s="19"/>
      <c r="I85" s="19">
        <v>1.1146582591338274E-2</v>
      </c>
      <c r="J85" s="19">
        <v>4.4586330365353116E-2</v>
      </c>
      <c r="K85" s="20">
        <v>0.18753064925263535</v>
      </c>
      <c r="L85" s="20">
        <v>5.2575023063972312E-2</v>
      </c>
      <c r="M85" s="20"/>
      <c r="N85" s="20">
        <v>4.6421523107224597E-2</v>
      </c>
      <c r="O85" s="20"/>
      <c r="P85" s="20">
        <v>1.7706820616287682E-2</v>
      </c>
      <c r="Q85" s="20">
        <v>7.0827282465150757E-2</v>
      </c>
    </row>
    <row r="86" spans="1:17" outlineLevel="1" x14ac:dyDescent="0.2">
      <c r="A86" t="s">
        <v>360</v>
      </c>
      <c r="B86" t="s">
        <v>361</v>
      </c>
      <c r="C86" t="s">
        <v>362</v>
      </c>
      <c r="D86" s="19">
        <v>0.18753064925263543</v>
      </c>
      <c r="E86" s="19">
        <v>5.2575023063972312E-2</v>
      </c>
      <c r="F86" s="19">
        <v>4.9999999988103047E-2</v>
      </c>
      <c r="G86" s="19">
        <v>2.9222713243868707E-2</v>
      </c>
      <c r="H86" s="19"/>
      <c r="I86" s="19">
        <v>1.1146582591338269E-2</v>
      </c>
      <c r="J86" s="19">
        <v>4.4586330365353095E-2</v>
      </c>
      <c r="K86" s="20">
        <v>0.18753064925263546</v>
      </c>
      <c r="L86" s="20">
        <v>5.2575023063972305E-2</v>
      </c>
      <c r="M86" s="20"/>
      <c r="N86" s="20">
        <v>4.6421523107224631E-2</v>
      </c>
      <c r="O86" s="20"/>
      <c r="P86" s="20">
        <v>1.7706820616287696E-2</v>
      </c>
      <c r="Q86" s="20">
        <v>7.0827282465150812E-2</v>
      </c>
    </row>
    <row r="87" spans="1:17" outlineLevel="1" x14ac:dyDescent="0.2">
      <c r="B87" t="s">
        <v>363</v>
      </c>
      <c r="C87" t="s">
        <v>364</v>
      </c>
      <c r="D87" s="19">
        <v>0.18753064925263546</v>
      </c>
      <c r="E87" s="19">
        <v>5.2575023063972305E-2</v>
      </c>
      <c r="F87" s="19">
        <v>4.9999999988103054E-2</v>
      </c>
      <c r="G87" s="19">
        <v>2.9222713243868711E-2</v>
      </c>
      <c r="H87" s="19"/>
      <c r="I87" s="19">
        <v>1.114658259133827E-2</v>
      </c>
      <c r="J87" s="19">
        <v>4.4586330365353102E-2</v>
      </c>
      <c r="K87" s="20">
        <v>0.18753064925263538</v>
      </c>
      <c r="L87" s="20">
        <v>5.2575023063972312E-2</v>
      </c>
      <c r="M87" s="20"/>
      <c r="N87" s="20">
        <v>4.6421523107224603E-2</v>
      </c>
      <c r="O87" s="20"/>
      <c r="P87" s="20">
        <v>1.7706820616287689E-2</v>
      </c>
      <c r="Q87" s="20">
        <v>7.0827282465150784E-2</v>
      </c>
    </row>
    <row r="88" spans="1:17" x14ac:dyDescent="0.2">
      <c r="K88" s="21"/>
      <c r="L88" s="21"/>
      <c r="M88" s="21"/>
      <c r="N88" s="21"/>
      <c r="O88" s="21"/>
      <c r="P88" s="21"/>
      <c r="Q88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0"/>
  <sheetViews>
    <sheetView workbookViewId="0">
      <selection activeCell="A6" sqref="A6"/>
    </sheetView>
  </sheetViews>
  <sheetFormatPr defaultRowHeight="12.75" x14ac:dyDescent="0.2"/>
  <cols>
    <col min="1" max="1" width="23.7109375" bestFit="1" customWidth="1"/>
    <col min="2" max="2" width="12.42578125" customWidth="1"/>
  </cols>
  <sheetData>
    <row r="1" spans="1:6" ht="15" x14ac:dyDescent="0.25">
      <c r="A1" s="40" t="s">
        <v>150</v>
      </c>
      <c r="B1" s="50">
        <v>7.4999999999999997E-2</v>
      </c>
      <c r="C1" s="48"/>
      <c r="D1" s="39"/>
      <c r="E1" s="39"/>
      <c r="F1" s="39"/>
    </row>
    <row r="2" spans="1:6" ht="15" x14ac:dyDescent="0.25">
      <c r="A2" s="41" t="s">
        <v>63</v>
      </c>
      <c r="B2" s="42">
        <v>0.03</v>
      </c>
      <c r="C2" s="48"/>
      <c r="D2" s="39"/>
      <c r="E2" s="39"/>
      <c r="F2" s="39"/>
    </row>
    <row r="3" spans="1:6" ht="15" x14ac:dyDescent="0.25">
      <c r="A3" s="41" t="s">
        <v>155</v>
      </c>
      <c r="B3" s="42">
        <v>2.5000000000000001E-2</v>
      </c>
      <c r="C3" s="43"/>
      <c r="D3" s="39"/>
      <c r="E3" s="39"/>
      <c r="F3" s="39"/>
    </row>
    <row r="4" spans="1:6" ht="15" x14ac:dyDescent="0.25">
      <c r="A4" s="41" t="s">
        <v>157</v>
      </c>
      <c r="B4" s="42">
        <v>4.4999999999999998E-2</v>
      </c>
      <c r="C4" s="43"/>
      <c r="D4" s="39"/>
      <c r="E4" s="39"/>
      <c r="F4" s="39"/>
    </row>
    <row r="5" spans="1:6" ht="15" x14ac:dyDescent="0.25">
      <c r="A5" s="41" t="s">
        <v>374</v>
      </c>
      <c r="B5" s="42">
        <v>0.1</v>
      </c>
      <c r="C5" s="48"/>
      <c r="D5" s="39"/>
      <c r="E5" s="39"/>
      <c r="F5" s="39"/>
    </row>
    <row r="6" spans="1:6" x14ac:dyDescent="0.2">
      <c r="A6" s="51"/>
      <c r="B6" s="52"/>
      <c r="C6" s="49"/>
      <c r="D6" s="39"/>
      <c r="E6" s="39"/>
      <c r="F6" s="39"/>
    </row>
    <row r="7" spans="1:6" x14ac:dyDescent="0.2">
      <c r="A7" s="51"/>
      <c r="B7" s="52"/>
      <c r="C7" s="49"/>
      <c r="D7" s="39"/>
      <c r="E7" s="39"/>
      <c r="F7" s="39"/>
    </row>
    <row r="8" spans="1:6" ht="15" x14ac:dyDescent="0.25">
      <c r="A8" s="41"/>
      <c r="B8" s="42"/>
      <c r="C8" s="39"/>
      <c r="D8" s="39"/>
      <c r="E8" s="39"/>
      <c r="F8" s="39"/>
    </row>
    <row r="9" spans="1:6" ht="15.75" thickBot="1" x14ac:dyDescent="0.3">
      <c r="A9" s="44"/>
      <c r="B9" s="47"/>
      <c r="C9" s="39"/>
      <c r="D9" s="39"/>
      <c r="E9" s="39"/>
      <c r="F9" s="39"/>
    </row>
    <row r="10" spans="1:6" x14ac:dyDescent="0.2">
      <c r="A10" s="39"/>
      <c r="B10" s="39"/>
      <c r="C10" s="39"/>
      <c r="D10" s="39"/>
      <c r="E10" s="39"/>
      <c r="F10" s="39"/>
    </row>
    <row r="11" spans="1:6" x14ac:dyDescent="0.2">
      <c r="A11" s="39"/>
      <c r="B11" s="39"/>
      <c r="C11" s="39"/>
      <c r="D11" s="39"/>
      <c r="E11" s="39"/>
      <c r="F11" s="39"/>
    </row>
    <row r="12" spans="1:6" x14ac:dyDescent="0.2">
      <c r="A12" s="39"/>
      <c r="B12" s="39"/>
      <c r="C12" s="39"/>
      <c r="D12" s="39"/>
      <c r="E12" s="39"/>
      <c r="F12" s="39"/>
    </row>
    <row r="13" spans="1:6" x14ac:dyDescent="0.2">
      <c r="A13" s="39"/>
      <c r="B13" s="39"/>
      <c r="C13" s="39"/>
      <c r="D13" s="39"/>
      <c r="E13" s="39"/>
      <c r="F13" s="39"/>
    </row>
    <row r="14" spans="1:6" x14ac:dyDescent="0.2">
      <c r="A14" s="39"/>
      <c r="B14" s="39"/>
      <c r="C14" s="39"/>
      <c r="D14" s="39"/>
      <c r="E14" s="39"/>
      <c r="F14" s="39"/>
    </row>
    <row r="15" spans="1:6" x14ac:dyDescent="0.2">
      <c r="A15" s="39"/>
      <c r="B15" s="39"/>
      <c r="C15" s="39"/>
      <c r="D15" s="39"/>
      <c r="E15" s="39"/>
      <c r="F15" s="39"/>
    </row>
    <row r="16" spans="1:6" x14ac:dyDescent="0.2">
      <c r="A16" s="39"/>
      <c r="B16" s="39"/>
      <c r="C16" s="39"/>
      <c r="D16" s="39"/>
      <c r="E16" s="39"/>
      <c r="F16" s="39"/>
    </row>
    <row r="17" spans="1:6" x14ac:dyDescent="0.2">
      <c r="A17" s="39"/>
      <c r="B17" s="39"/>
      <c r="C17" s="39"/>
      <c r="D17" s="39"/>
      <c r="E17" s="39"/>
      <c r="F17" s="39"/>
    </row>
    <row r="18" spans="1:6" x14ac:dyDescent="0.2">
      <c r="A18" s="39"/>
      <c r="B18" s="39"/>
      <c r="C18" s="39"/>
      <c r="D18" s="39"/>
      <c r="E18" s="39"/>
      <c r="F18" s="39"/>
    </row>
    <row r="19" spans="1:6" x14ac:dyDescent="0.2">
      <c r="A19" s="39"/>
      <c r="B19" s="39"/>
      <c r="C19" s="39"/>
      <c r="D19" s="39"/>
      <c r="E19" s="39"/>
      <c r="F19" s="39"/>
    </row>
    <row r="20" spans="1:6" x14ac:dyDescent="0.2">
      <c r="A20" s="39"/>
      <c r="B20" s="39"/>
      <c r="C20" s="39"/>
      <c r="D20" s="39"/>
      <c r="E20" s="39"/>
      <c r="F20" s="3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  <c r="J1" t="s">
        <v>144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112</v>
      </c>
      <c r="B4" t="s">
        <v>113</v>
      </c>
      <c r="C4" t="s">
        <v>114</v>
      </c>
      <c r="D4" t="s">
        <v>115</v>
      </c>
      <c r="E4" t="s">
        <v>116</v>
      </c>
      <c r="F4" t="s">
        <v>117</v>
      </c>
      <c r="G4" t="s">
        <v>118</v>
      </c>
      <c r="H4" t="s">
        <v>119</v>
      </c>
      <c r="I4" t="s">
        <v>120</v>
      </c>
      <c r="J4" t="s">
        <v>121</v>
      </c>
      <c r="K4" t="s">
        <v>122</v>
      </c>
      <c r="L4" t="s">
        <v>123</v>
      </c>
      <c r="M4" t="s">
        <v>124</v>
      </c>
      <c r="N4" t="s">
        <v>125</v>
      </c>
      <c r="O4" t="s">
        <v>126</v>
      </c>
      <c r="P4" t="s">
        <v>127</v>
      </c>
      <c r="Q4" t="s">
        <v>128</v>
      </c>
      <c r="R4" t="s">
        <v>129</v>
      </c>
      <c r="S4" t="s">
        <v>130</v>
      </c>
      <c r="T4" t="s">
        <v>131</v>
      </c>
      <c r="U4" t="s">
        <v>132</v>
      </c>
      <c r="V4" t="s">
        <v>133</v>
      </c>
      <c r="W4" t="s">
        <v>134</v>
      </c>
    </row>
    <row r="6" spans="1:23" x14ac:dyDescent="0.2">
      <c r="A6" t="e">
        <f>#REF!</f>
        <v>#REF!</v>
      </c>
      <c r="B6">
        <v>20</v>
      </c>
      <c r="G6" t="e">
        <f>#REF!</f>
        <v>#REF!</v>
      </c>
    </row>
    <row r="7" spans="1:23" x14ac:dyDescent="0.2">
      <c r="A7" t="e">
        <f>#REF!</f>
        <v>#REF!</v>
      </c>
      <c r="B7">
        <v>24</v>
      </c>
      <c r="G7" t="e">
        <f>#REF!</f>
        <v>#REF!</v>
      </c>
    </row>
    <row r="8" spans="1:23" x14ac:dyDescent="0.2">
      <c r="A8" t="e">
        <f>#REF!</f>
        <v>#REF!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 t="e">
        <f>SmtRes!Y4*#REF!</f>
        <v>#REF!</v>
      </c>
      <c r="J8">
        <f>SmtRes!AO4</f>
        <v>1</v>
      </c>
      <c r="K8">
        <f>SmtRes!AH4</f>
        <v>7.8</v>
      </c>
      <c r="L8">
        <f>SmtRes!DB4</f>
        <v>404.06</v>
      </c>
      <c r="M8" t="e">
        <f>ROUND(ROUND(L8*#REF!, 6)*1, 2)</f>
        <v>#REF!</v>
      </c>
      <c r="N8">
        <f>SmtRes!AD4</f>
        <v>7.8</v>
      </c>
      <c r="O8" t="e">
        <f>ROUND(ROUND(L8*#REF!, 6)*SmtRes!DA4, 2)</f>
        <v>#REF!</v>
      </c>
      <c r="P8">
        <f>SmtRes!AG4</f>
        <v>0</v>
      </c>
      <c r="Q8">
        <f>SmtRes!DC4</f>
        <v>0</v>
      </c>
      <c r="R8" t="e">
        <f>ROUND(ROUND(Q8*#REF!, 6)*1, 2)</f>
        <v>#REF!</v>
      </c>
      <c r="S8">
        <f>SmtRes!AC4</f>
        <v>0</v>
      </c>
      <c r="T8" t="e">
        <f>ROUND(ROUND(Q8*#REF!, 6)*SmtRes!AK4, 2)</f>
        <v>#REF!</v>
      </c>
      <c r="U8">
        <f>SmtRes!X4</f>
        <v>735429535</v>
      </c>
      <c r="V8">
        <v>-634705416</v>
      </c>
      <c r="W8">
        <v>-873429878</v>
      </c>
    </row>
    <row r="9" spans="1:23" x14ac:dyDescent="0.2">
      <c r="A9" t="e">
        <f>#REF!</f>
        <v>#REF!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 t="e">
        <f>SmtRes!Y14*#REF!</f>
        <v>#REF!</v>
      </c>
      <c r="J9">
        <f>SmtRes!AO14</f>
        <v>1</v>
      </c>
      <c r="K9">
        <f>SmtRes!AF14</f>
        <v>31.26</v>
      </c>
      <c r="L9">
        <f>SmtRes!DB14</f>
        <v>2.8420000000000001</v>
      </c>
      <c r="M9" t="e">
        <f>ROUND(ROUND(L9*#REF!, 6)*1, 2)</f>
        <v>#REF!</v>
      </c>
      <c r="N9">
        <f>SmtRes!AB14</f>
        <v>422.01</v>
      </c>
      <c r="O9" t="e">
        <f>ROUND(ROUND(L9*#REF!, 6)*SmtRes!DA14, 2)</f>
        <v>#REF!</v>
      </c>
      <c r="P9">
        <f>SmtRes!AG14</f>
        <v>13.5</v>
      </c>
      <c r="Q9">
        <f>SmtRes!DC14</f>
        <v>1.232</v>
      </c>
      <c r="R9" t="e">
        <f>ROUND(ROUND(Q9*#REF!, 6)*1, 2)</f>
        <v>#REF!</v>
      </c>
      <c r="S9">
        <f>SmtRes!AC14</f>
        <v>408.24</v>
      </c>
      <c r="T9" t="e">
        <f>ROUND(ROUND(Q9*#REF!, 6)*SmtRes!AK14, 2)</f>
        <v>#REF!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 t="e">
        <f>#REF!</f>
        <v>#REF!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 t="e">
        <f>SmtRes!Y13*#REF!</f>
        <v>#REF!</v>
      </c>
      <c r="J10">
        <f>SmtRes!AO13</f>
        <v>1</v>
      </c>
      <c r="K10">
        <f>SmtRes!AF13</f>
        <v>89.99</v>
      </c>
      <c r="L10">
        <f>SmtRes!DB13</f>
        <v>5.04</v>
      </c>
      <c r="M10" t="e">
        <f>ROUND(ROUND(L10*#REF!, 6)*1, 2)</f>
        <v>#REF!</v>
      </c>
      <c r="N10">
        <f>SmtRes!AB13</f>
        <v>634.42999999999995</v>
      </c>
      <c r="O10" t="e">
        <f>ROUND(ROUND(L10*#REF!, 6)*SmtRes!DA13, 2)</f>
        <v>#REF!</v>
      </c>
      <c r="P10">
        <f>SmtRes!AG13</f>
        <v>10.06</v>
      </c>
      <c r="Q10">
        <f>SmtRes!DC13</f>
        <v>0.56000000000000005</v>
      </c>
      <c r="R10" t="e">
        <f>ROUND(ROUND(Q10*#REF!, 6)*1, 2)</f>
        <v>#REF!</v>
      </c>
      <c r="S10">
        <f>SmtRes!AC13</f>
        <v>304.20999999999998</v>
      </c>
      <c r="T10" t="e">
        <f>ROUND(ROUND(Q10*#REF!, 6)*SmtRes!AK13, 2)</f>
        <v>#REF!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 t="e">
        <f>#REF!</f>
        <v>#REF!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 t="e">
        <f>SmtRes!Y11*#REF!</f>
        <v>#REF!</v>
      </c>
      <c r="J11">
        <f>SmtRes!AO11</f>
        <v>1</v>
      </c>
      <c r="K11">
        <f>SmtRes!AH11</f>
        <v>9.18</v>
      </c>
      <c r="L11">
        <f>SmtRes!DB11</f>
        <v>160.524</v>
      </c>
      <c r="M11" t="e">
        <f>ROUND(ROUND(L11*#REF!, 6)*1, 2)</f>
        <v>#REF!</v>
      </c>
      <c r="N11">
        <f>SmtRes!AD11</f>
        <v>9.18</v>
      </c>
      <c r="O11" t="e">
        <f>ROUND(ROUND(L11*#REF!, 6)*SmtRes!DA11, 2)</f>
        <v>#REF!</v>
      </c>
      <c r="P11">
        <f>SmtRes!AG11</f>
        <v>0</v>
      </c>
      <c r="Q11">
        <f>SmtRes!DC11</f>
        <v>0</v>
      </c>
      <c r="R11" t="e">
        <f>ROUND(ROUND(Q11*#REF!, 6)*1, 2)</f>
        <v>#REF!</v>
      </c>
      <c r="S11">
        <f>SmtRes!AC11</f>
        <v>0</v>
      </c>
      <c r="T11" t="e">
        <f>ROUND(ROUND(Q11*#REF!, 6)*SmtRes!AK11, 2)</f>
        <v>#REF!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 t="e">
        <f>#REF!</f>
        <v>#REF!</v>
      </c>
      <c r="B12">
        <v>64</v>
      </c>
      <c r="G12" t="e">
        <f>#REF!</f>
        <v>#REF!</v>
      </c>
    </row>
    <row r="13" spans="1:23" x14ac:dyDescent="0.2">
      <c r="A13" t="e">
        <f>#REF!</f>
        <v>#REF!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 t="e">
        <f>SmtRes!Y20*#REF!</f>
        <v>#REF!</v>
      </c>
      <c r="J13">
        <f>SmtRes!AO20</f>
        <v>1</v>
      </c>
      <c r="K13">
        <f>SmtRes!AH20</f>
        <v>7.8</v>
      </c>
      <c r="L13">
        <f>SmtRes!DB20</f>
        <v>404.06</v>
      </c>
      <c r="M13" t="e">
        <f>ROUND(ROUND(L13*#REF!, 6)*1, 2)</f>
        <v>#REF!</v>
      </c>
      <c r="N13">
        <f>SmtRes!AD20</f>
        <v>7.8</v>
      </c>
      <c r="O13" t="e">
        <f>ROUND(ROUND(L13*#REF!, 6)*SmtRes!DA20, 2)</f>
        <v>#REF!</v>
      </c>
      <c r="P13">
        <f>SmtRes!AG20</f>
        <v>0</v>
      </c>
      <c r="Q13">
        <f>SmtRes!DC20</f>
        <v>0</v>
      </c>
      <c r="R13" t="e">
        <f>ROUND(ROUND(Q13*#REF!, 6)*1, 2)</f>
        <v>#REF!</v>
      </c>
      <c r="S13">
        <f>SmtRes!AC20</f>
        <v>0</v>
      </c>
      <c r="T13" t="e">
        <f>ROUND(ROUND(Q13*#REF!, 6)*SmtRes!AK20, 2)</f>
        <v>#REF!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 t="e">
        <f>#REF!</f>
        <v>#REF!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 t="e">
        <f>SmtRes!Y30*#REF!</f>
        <v>#REF!</v>
      </c>
      <c r="J14">
        <f>SmtRes!AO30</f>
        <v>1</v>
      </c>
      <c r="K14">
        <f>SmtRes!AF30</f>
        <v>31.26</v>
      </c>
      <c r="L14">
        <f>SmtRes!DB30</f>
        <v>2.8420000000000001</v>
      </c>
      <c r="M14" t="e">
        <f>ROUND(ROUND(L14*#REF!, 6)*1, 2)</f>
        <v>#REF!</v>
      </c>
      <c r="N14">
        <f>SmtRes!AB30</f>
        <v>422.01</v>
      </c>
      <c r="O14" t="e">
        <f>ROUND(ROUND(L14*#REF!, 6)*SmtRes!DA30, 2)</f>
        <v>#REF!</v>
      </c>
      <c r="P14">
        <f>SmtRes!AG30</f>
        <v>13.5</v>
      </c>
      <c r="Q14">
        <f>SmtRes!DC30</f>
        <v>1.232</v>
      </c>
      <c r="R14" t="e">
        <f>ROUND(ROUND(Q14*#REF!, 6)*1, 2)</f>
        <v>#REF!</v>
      </c>
      <c r="S14">
        <f>SmtRes!AC30</f>
        <v>408.24</v>
      </c>
      <c r="T14" t="e">
        <f>ROUND(ROUND(Q14*#REF!, 6)*SmtRes!AK30, 2)</f>
        <v>#REF!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 t="e">
        <f>#REF!</f>
        <v>#REF!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 t="e">
        <f>SmtRes!Y29*#REF!</f>
        <v>#REF!</v>
      </c>
      <c r="J15">
        <f>SmtRes!AO29</f>
        <v>1</v>
      </c>
      <c r="K15">
        <f>SmtRes!AF29</f>
        <v>89.99</v>
      </c>
      <c r="L15">
        <f>SmtRes!DB29</f>
        <v>5.04</v>
      </c>
      <c r="M15" t="e">
        <f>ROUND(ROUND(L15*#REF!, 6)*1, 2)</f>
        <v>#REF!</v>
      </c>
      <c r="N15">
        <f>SmtRes!AB29</f>
        <v>634.42999999999995</v>
      </c>
      <c r="O15" t="e">
        <f>ROUND(ROUND(L15*#REF!, 6)*SmtRes!DA29, 2)</f>
        <v>#REF!</v>
      </c>
      <c r="P15">
        <f>SmtRes!AG29</f>
        <v>10.06</v>
      </c>
      <c r="Q15">
        <f>SmtRes!DC29</f>
        <v>0.56000000000000005</v>
      </c>
      <c r="R15" t="e">
        <f>ROUND(ROUND(Q15*#REF!, 6)*1, 2)</f>
        <v>#REF!</v>
      </c>
      <c r="S15">
        <f>SmtRes!AC29</f>
        <v>304.20999999999998</v>
      </c>
      <c r="T15" t="e">
        <f>ROUND(ROUND(Q15*#REF!, 6)*SmtRes!AK29, 2)</f>
        <v>#REF!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 t="e">
        <f>#REF!</f>
        <v>#REF!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 t="e">
        <f>SmtRes!Y27*#REF!</f>
        <v>#REF!</v>
      </c>
      <c r="J16">
        <f>SmtRes!AO27</f>
        <v>1</v>
      </c>
      <c r="K16">
        <f>SmtRes!AH27</f>
        <v>9.18</v>
      </c>
      <c r="L16">
        <f>SmtRes!DB27</f>
        <v>160.524</v>
      </c>
      <c r="M16" t="e">
        <f>ROUND(ROUND(L16*#REF!, 6)*1, 2)</f>
        <v>#REF!</v>
      </c>
      <c r="N16">
        <f>SmtRes!AD27</f>
        <v>9.18</v>
      </c>
      <c r="O16" t="e">
        <f>ROUND(ROUND(L16*#REF!, 6)*SmtRes!DA27, 2)</f>
        <v>#REF!</v>
      </c>
      <c r="P16">
        <f>SmtRes!AG27</f>
        <v>0</v>
      </c>
      <c r="Q16">
        <f>SmtRes!DC27</f>
        <v>0</v>
      </c>
      <c r="R16" t="e">
        <f>ROUND(ROUND(Q16*#REF!, 6)*1, 2)</f>
        <v>#REF!</v>
      </c>
      <c r="S16">
        <f>SmtRes!AC27</f>
        <v>0</v>
      </c>
      <c r="T16" t="e">
        <f>ROUND(ROUND(Q16*#REF!, 6)*SmtRes!AK27, 2)</f>
        <v>#REF!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 t="e">
        <f>#REF!</f>
        <v>#REF!</v>
      </c>
      <c r="B17">
        <v>104</v>
      </c>
      <c r="G17" t="e">
        <f>#REF!</f>
        <v>#REF!</v>
      </c>
    </row>
    <row r="18" spans="1:23" x14ac:dyDescent="0.2">
      <c r="A18" t="e">
        <f>#REF!</f>
        <v>#REF!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 t="e">
        <f>SmtRes!Y36*#REF!</f>
        <v>#REF!</v>
      </c>
      <c r="J18">
        <f>SmtRes!AO36</f>
        <v>1</v>
      </c>
      <c r="K18">
        <f>SmtRes!AE36</f>
        <v>82</v>
      </c>
      <c r="L18">
        <f>SmtRes!DB36</f>
        <v>16.399999999999999</v>
      </c>
      <c r="M18" t="e">
        <f>ROUND(ROUND(L18*#REF!, 6)*1, 2)</f>
        <v>#REF!</v>
      </c>
      <c r="N18">
        <f>SmtRes!AA36</f>
        <v>460.84</v>
      </c>
      <c r="O18" t="e">
        <f>ROUND(ROUND(L18*#REF!, 6)*SmtRes!DA36, 2)</f>
        <v>#REF!</v>
      </c>
      <c r="P18">
        <f>SmtRes!AG36</f>
        <v>0</v>
      </c>
      <c r="Q18">
        <f>SmtRes!DC36</f>
        <v>0</v>
      </c>
      <c r="R18" t="e">
        <f>ROUND(ROUND(Q18*#REF!, 6)*1, 2)</f>
        <v>#REF!</v>
      </c>
      <c r="S18">
        <f>SmtRes!AC36</f>
        <v>0</v>
      </c>
      <c r="T18" t="e">
        <f>ROUND(ROUND(Q18*#REF!, 6)*SmtRes!AK36, 2)</f>
        <v>#REF!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 t="e">
        <f>#REF!</f>
        <v>#REF!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 t="e">
        <f>SmtRes!Y35*#REF!</f>
        <v>#REF!</v>
      </c>
      <c r="J19">
        <f>SmtRes!AO35</f>
        <v>1</v>
      </c>
      <c r="K19">
        <f>SmtRes!AH35</f>
        <v>7.19</v>
      </c>
      <c r="L19">
        <f>SmtRes!DB35</f>
        <v>7.41</v>
      </c>
      <c r="M19" t="e">
        <f>ROUND(ROUND(L19*#REF!, 6)*1, 2)</f>
        <v>#REF!</v>
      </c>
      <c r="N19">
        <f>SmtRes!AD35</f>
        <v>7.19</v>
      </c>
      <c r="O19" t="e">
        <f>ROUND(ROUND(L19*#REF!, 6)*SmtRes!DA35, 2)</f>
        <v>#REF!</v>
      </c>
      <c r="P19">
        <f>SmtRes!AG35</f>
        <v>0</v>
      </c>
      <c r="Q19">
        <f>SmtRes!DC35</f>
        <v>0</v>
      </c>
      <c r="R19" t="e">
        <f>ROUND(ROUND(Q19*#REF!, 6)*1, 2)</f>
        <v>#REF!</v>
      </c>
      <c r="S19">
        <f>SmtRes!AC35</f>
        <v>0</v>
      </c>
      <c r="T19" t="e">
        <f>ROUND(ROUND(Q19*#REF!, 6)*SmtRes!AK35, 2)</f>
        <v>#REF!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 t="e">
        <f>#REF!</f>
        <v>#REF!</v>
      </c>
      <c r="C20">
        <v>3</v>
      </c>
      <c r="D20" t="e">
        <f>#REF!</f>
        <v>#REF!</v>
      </c>
      <c r="E20" t="e">
        <f>#REF!</f>
        <v>#REF!</v>
      </c>
      <c r="F20" t="e">
        <f>#REF!</f>
        <v>#REF!</v>
      </c>
      <c r="G20" t="e">
        <f>#REF!</f>
        <v>#REF!</v>
      </c>
      <c r="H20" t="e">
        <f>#REF!</f>
        <v>#REF!</v>
      </c>
      <c r="I20" t="e">
        <f>#REF!</f>
        <v>#REF!</v>
      </c>
      <c r="J20">
        <v>1</v>
      </c>
      <c r="K20" t="e">
        <f>#REF!</f>
        <v>#REF!</v>
      </c>
      <c r="M20" t="e">
        <f>ROUND(K20*I20, 2)</f>
        <v>#REF!</v>
      </c>
      <c r="N20" t="e">
        <f>#REF!*IF(#REF!&lt;&gt; 0,#REF!, 1)</f>
        <v>#REF!</v>
      </c>
      <c r="O20" t="e">
        <f>ROUND(N20*I20, 2)</f>
        <v>#REF!</v>
      </c>
      <c r="P20" t="e">
        <f>#REF!</f>
        <v>#REF!</v>
      </c>
      <c r="R20" t="e">
        <f>ROUND(P20*I20, 2)</f>
        <v>#REF!</v>
      </c>
      <c r="S20" t="e">
        <f>#REF!*IF(#REF!&lt;&gt; 0,#REF!, 1)</f>
        <v>#REF!</v>
      </c>
      <c r="T20" t="e">
        <f>ROUND(S20*I20, 2)</f>
        <v>#REF!</v>
      </c>
      <c r="U20" t="e">
        <f>#REF!</f>
        <v>#REF!</v>
      </c>
      <c r="V20">
        <v>534366141</v>
      </c>
      <c r="W20">
        <v>-74809241</v>
      </c>
    </row>
    <row r="21" spans="1:23" x14ac:dyDescent="0.2">
      <c r="A21">
        <v>999</v>
      </c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85</v>
      </c>
      <c r="F1">
        <v>0</v>
      </c>
      <c r="G1">
        <v>0</v>
      </c>
      <c r="H1">
        <v>0</v>
      </c>
      <c r="I1" t="s">
        <v>1</v>
      </c>
      <c r="J1" t="s">
        <v>2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3</v>
      </c>
      <c r="G4" s="1" t="s">
        <v>4</v>
      </c>
      <c r="H4" s="1" t="s">
        <v>2</v>
      </c>
      <c r="I4" s="1" t="s">
        <v>2</v>
      </c>
      <c r="J4" s="1" t="s">
        <v>2</v>
      </c>
      <c r="K4" s="1" t="s">
        <v>2</v>
      </c>
      <c r="L4" s="1" t="s">
        <v>2</v>
      </c>
      <c r="M4" s="1" t="s">
        <v>2</v>
      </c>
      <c r="N4" s="1" t="s">
        <v>2</v>
      </c>
      <c r="O4" s="1" t="s">
        <v>2</v>
      </c>
      <c r="P4" s="1">
        <v>0</v>
      </c>
      <c r="Q4" s="1" t="s">
        <v>2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5</v>
      </c>
      <c r="G12" s="1" t="s">
        <v>6</v>
      </c>
      <c r="H12" s="1" t="s">
        <v>2</v>
      </c>
      <c r="I12" s="1">
        <v>0</v>
      </c>
      <c r="J12" s="1" t="s">
        <v>2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2</v>
      </c>
      <c r="V12" s="1">
        <v>0</v>
      </c>
      <c r="W12" s="1" t="s">
        <v>2</v>
      </c>
      <c r="X12" s="1" t="s">
        <v>2</v>
      </c>
      <c r="Y12" s="1" t="s">
        <v>2</v>
      </c>
      <c r="Z12" s="1" t="s">
        <v>2</v>
      </c>
      <c r="AA12" s="1" t="s">
        <v>2</v>
      </c>
      <c r="AB12" s="1" t="s">
        <v>2</v>
      </c>
      <c r="AC12" s="1" t="s">
        <v>2</v>
      </c>
      <c r="AD12" s="1" t="s">
        <v>2</v>
      </c>
      <c r="AE12" s="1" t="s">
        <v>2</v>
      </c>
      <c r="AF12" s="1" t="s">
        <v>2</v>
      </c>
      <c r="AG12" s="1" t="s">
        <v>2</v>
      </c>
      <c r="AH12" s="1" t="s">
        <v>2</v>
      </c>
      <c r="AI12" s="1" t="s">
        <v>2</v>
      </c>
      <c r="AJ12" s="1" t="s">
        <v>2</v>
      </c>
      <c r="AK12" s="1"/>
      <c r="AL12" s="1" t="s">
        <v>2</v>
      </c>
      <c r="AM12" s="1" t="s">
        <v>2</v>
      </c>
      <c r="AN12" s="1" t="s">
        <v>2</v>
      </c>
      <c r="AO12" s="1"/>
      <c r="AP12" s="1" t="s">
        <v>2</v>
      </c>
      <c r="AQ12" s="1" t="s">
        <v>2</v>
      </c>
      <c r="AR12" s="1" t="s">
        <v>2</v>
      </c>
      <c r="AS12" s="1"/>
      <c r="AT12" s="1"/>
      <c r="AU12" s="1"/>
      <c r="AV12" s="1"/>
      <c r="AW12" s="1"/>
      <c r="AX12" s="1" t="s">
        <v>2</v>
      </c>
      <c r="AY12" s="1" t="s">
        <v>2</v>
      </c>
      <c r="AZ12" s="1" t="s">
        <v>2</v>
      </c>
      <c r="BA12" s="1"/>
      <c r="BB12" s="1"/>
      <c r="BC12" s="1"/>
      <c r="BD12" s="1"/>
      <c r="BE12" s="1"/>
      <c r="BF12" s="1"/>
      <c r="BG12" s="1"/>
      <c r="BH12" s="1" t="s">
        <v>7</v>
      </c>
      <c r="BI12" s="1" t="s">
        <v>8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2</v>
      </c>
      <c r="BZ12" s="1" t="s">
        <v>9</v>
      </c>
      <c r="CA12" s="1" t="s">
        <v>10</v>
      </c>
      <c r="CB12" s="1" t="s">
        <v>10</v>
      </c>
      <c r="CC12" s="1" t="s">
        <v>10</v>
      </c>
      <c r="CD12" s="1" t="s">
        <v>10</v>
      </c>
      <c r="CE12" s="1" t="s">
        <v>11</v>
      </c>
      <c r="CF12" s="1">
        <v>0</v>
      </c>
      <c r="CG12" s="1">
        <v>0</v>
      </c>
      <c r="CH12" s="1">
        <v>524296</v>
      </c>
      <c r="CI12" s="1" t="s">
        <v>2</v>
      </c>
      <c r="CJ12" s="1" t="s">
        <v>2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6">
        <v>3</v>
      </c>
      <c r="B16" s="6">
        <v>1</v>
      </c>
      <c r="C16" s="6" t="s">
        <v>12</v>
      </c>
      <c r="D16" s="6" t="s">
        <v>12</v>
      </c>
      <c r="E16" s="7" t="e">
        <f>(#REF!)/1000</f>
        <v>#REF!</v>
      </c>
      <c r="F16" s="7" t="e">
        <f>(#REF!)/1000</f>
        <v>#REF!</v>
      </c>
      <c r="G16" s="7" t="e">
        <f>(#REF!)/1000</f>
        <v>#REF!</v>
      </c>
      <c r="H16" s="7" t="e">
        <f>(#REF!)/1000+(#REF!)/1000</f>
        <v>#REF!</v>
      </c>
      <c r="I16" s="7" t="e">
        <f>E16+F16+G16+H16</f>
        <v>#REF!</v>
      </c>
      <c r="J16" s="7" t="e">
        <f>(#REF!)/1000</f>
        <v>#REF!</v>
      </c>
      <c r="T16" s="8" t="e">
        <f>(#REF!)/1000</f>
        <v>#REF!</v>
      </c>
      <c r="U16" s="8" t="e">
        <f>(#REF!)/1000</f>
        <v>#REF!</v>
      </c>
      <c r="V16" s="8" t="e">
        <f>(#REF!)/1000</f>
        <v>#REF!</v>
      </c>
      <c r="W16" s="8" t="e">
        <f>(#REF!)/1000+(#REF!)/1000</f>
        <v>#REF!</v>
      </c>
      <c r="X16" s="8" t="e">
        <f>T16+U16+V16+W16</f>
        <v>#REF!</v>
      </c>
      <c r="Y16" s="8" t="e">
        <f>(#REF!)/1000</f>
        <v>#REF!</v>
      </c>
      <c r="AI16" s="6">
        <v>0</v>
      </c>
      <c r="AJ16" s="6">
        <v>0</v>
      </c>
      <c r="AK16" s="6" t="s">
        <v>2</v>
      </c>
      <c r="AL16" s="6" t="s">
        <v>2</v>
      </c>
      <c r="AM16" s="6" t="s">
        <v>2</v>
      </c>
      <c r="AN16" s="6">
        <v>0</v>
      </c>
      <c r="AO16" s="6" t="s">
        <v>2</v>
      </c>
      <c r="AP16" s="6" t="s">
        <v>2</v>
      </c>
      <c r="AT16" s="7">
        <v>784069.6</v>
      </c>
      <c r="AU16" s="7">
        <v>310125.26</v>
      </c>
      <c r="AV16" s="7">
        <v>0</v>
      </c>
      <c r="AW16" s="7">
        <v>0</v>
      </c>
      <c r="AX16" s="7">
        <v>0</v>
      </c>
      <c r="AY16" s="7">
        <v>1845</v>
      </c>
      <c r="AZ16" s="7">
        <v>1350.87</v>
      </c>
      <c r="BA16" s="7">
        <v>472099.34</v>
      </c>
      <c r="BB16" s="7">
        <v>1357043.06</v>
      </c>
      <c r="BC16" s="7">
        <v>0</v>
      </c>
      <c r="BD16" s="7">
        <v>291000.40000000002</v>
      </c>
      <c r="BE16" s="7">
        <v>0</v>
      </c>
      <c r="BF16" s="7">
        <v>1940.9490221599999</v>
      </c>
      <c r="BG16" s="7">
        <v>3.6644747999999998</v>
      </c>
      <c r="BH16" s="7">
        <v>0</v>
      </c>
      <c r="BI16" s="7">
        <v>499798.45</v>
      </c>
      <c r="BJ16" s="7">
        <v>303761.99</v>
      </c>
      <c r="BK16" s="7">
        <v>1648043.46</v>
      </c>
      <c r="BR16" s="8">
        <v>56093.43</v>
      </c>
      <c r="BS16" s="8">
        <v>40285.18</v>
      </c>
      <c r="BT16" s="8">
        <v>0</v>
      </c>
      <c r="BU16" s="8">
        <v>0</v>
      </c>
      <c r="BV16" s="8">
        <v>0</v>
      </c>
      <c r="BW16" s="8">
        <v>196.49</v>
      </c>
      <c r="BX16" s="8">
        <v>44.68</v>
      </c>
      <c r="BY16" s="8">
        <v>15611.76</v>
      </c>
      <c r="BZ16" s="8">
        <v>49508.67</v>
      </c>
      <c r="CA16" s="8">
        <v>0</v>
      </c>
      <c r="CB16" s="8">
        <v>36882.18</v>
      </c>
      <c r="CC16" s="8">
        <v>0</v>
      </c>
      <c r="CD16" s="8">
        <v>1940.9490221599999</v>
      </c>
      <c r="CE16" s="8">
        <v>3.6644747999999998</v>
      </c>
      <c r="CF16" s="8">
        <v>0</v>
      </c>
      <c r="CG16" s="8">
        <v>16527.740000000002</v>
      </c>
      <c r="CH16" s="8">
        <v>10045.049999999999</v>
      </c>
      <c r="CI16" s="8">
        <v>86390.85</v>
      </c>
    </row>
    <row r="18" spans="1:40" x14ac:dyDescent="0.2">
      <c r="A18">
        <v>51</v>
      </c>
      <c r="E18" s="9" t="e">
        <f>SUMIF(A16:A17,3,E16:E17)</f>
        <v>#REF!</v>
      </c>
      <c r="F18" s="9" t="e">
        <f>SUMIF(A16:A17,3,F16:F17)</f>
        <v>#REF!</v>
      </c>
      <c r="G18" s="9" t="e">
        <f>SUMIF(A16:A17,3,G16:G17)</f>
        <v>#REF!</v>
      </c>
      <c r="H18" s="9" t="e">
        <f>SUMIF(A16:A17,3,H16:H17)</f>
        <v>#REF!</v>
      </c>
      <c r="I18" s="9" t="e">
        <f>SUMIF(A16:A17,3,I16:I17)</f>
        <v>#REF!</v>
      </c>
      <c r="J18" s="9" t="e">
        <f>SUMIF(A16:A17,3,J16:J17)</f>
        <v>#REF!</v>
      </c>
      <c r="K18" s="9"/>
      <c r="L18" s="9"/>
      <c r="M18" s="9"/>
      <c r="N18" s="9"/>
      <c r="O18" s="9"/>
      <c r="P18" s="9"/>
      <c r="Q18" s="9"/>
      <c r="R18" s="9"/>
      <c r="S18" s="9"/>
      <c r="T18" s="2" t="e">
        <f>SUMIF(A16:A17,3,T16:T17)</f>
        <v>#REF!</v>
      </c>
      <c r="U18" s="2" t="e">
        <f>SUMIF(A16:A17,3,U16:U17)</f>
        <v>#REF!</v>
      </c>
      <c r="V18" s="2" t="e">
        <f>SUMIF(A16:A17,3,V16:V17)</f>
        <v>#REF!</v>
      </c>
      <c r="W18" s="2" t="e">
        <f>SUMIF(A16:A17,3,W16:W17)</f>
        <v>#REF!</v>
      </c>
      <c r="X18" s="2" t="e">
        <f>SUMIF(A16:A17,3,X16:X17)</f>
        <v>#REF!</v>
      </c>
      <c r="Y18" s="2" t="e">
        <f>SUMIF(A16:A17,3,Y16:Y17)</f>
        <v>#REF!</v>
      </c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20" spans="1:40" x14ac:dyDescent="0.2">
      <c r="A20" s="4">
        <v>50</v>
      </c>
      <c r="B20" s="4">
        <v>0</v>
      </c>
      <c r="C20" s="4">
        <v>0</v>
      </c>
      <c r="D20" s="4">
        <v>1</v>
      </c>
      <c r="E20" s="4">
        <v>201</v>
      </c>
      <c r="F20" s="4">
        <v>784069.6</v>
      </c>
      <c r="G20" s="4" t="s">
        <v>17</v>
      </c>
      <c r="H20" s="4" t="s">
        <v>18</v>
      </c>
      <c r="I20" s="4"/>
      <c r="J20" s="4"/>
      <c r="K20" s="4">
        <v>201</v>
      </c>
      <c r="L20" s="4">
        <v>1</v>
      </c>
      <c r="M20" s="4">
        <v>3</v>
      </c>
      <c r="N20" s="4" t="s">
        <v>2</v>
      </c>
      <c r="O20" s="4">
        <v>2</v>
      </c>
      <c r="P20" s="4">
        <v>56093.43</v>
      </c>
    </row>
    <row r="21" spans="1:40" x14ac:dyDescent="0.2">
      <c r="A21" s="4">
        <v>50</v>
      </c>
      <c r="B21" s="4">
        <v>0</v>
      </c>
      <c r="C21" s="4">
        <v>0</v>
      </c>
      <c r="D21" s="4">
        <v>1</v>
      </c>
      <c r="E21" s="4">
        <v>202</v>
      </c>
      <c r="F21" s="4">
        <v>310125.26</v>
      </c>
      <c r="G21" s="4" t="s">
        <v>19</v>
      </c>
      <c r="H21" s="4" t="s">
        <v>20</v>
      </c>
      <c r="I21" s="4"/>
      <c r="J21" s="4"/>
      <c r="K21" s="4">
        <v>202</v>
      </c>
      <c r="L21" s="4">
        <v>2</v>
      </c>
      <c r="M21" s="4">
        <v>3</v>
      </c>
      <c r="N21" s="4" t="s">
        <v>2</v>
      </c>
      <c r="O21" s="4">
        <v>2</v>
      </c>
      <c r="P21" s="4">
        <v>40285.18</v>
      </c>
    </row>
    <row r="22" spans="1:40" x14ac:dyDescent="0.2">
      <c r="A22" s="4">
        <v>50</v>
      </c>
      <c r="B22" s="4">
        <v>0</v>
      </c>
      <c r="C22" s="4">
        <v>0</v>
      </c>
      <c r="D22" s="4">
        <v>1</v>
      </c>
      <c r="E22" s="4">
        <v>222</v>
      </c>
      <c r="F22" s="4">
        <v>0</v>
      </c>
      <c r="G22" s="4" t="s">
        <v>21</v>
      </c>
      <c r="H22" s="4" t="s">
        <v>22</v>
      </c>
      <c r="I22" s="4"/>
      <c r="J22" s="4"/>
      <c r="K22" s="4">
        <v>222</v>
      </c>
      <c r="L22" s="4">
        <v>3</v>
      </c>
      <c r="M22" s="4">
        <v>3</v>
      </c>
      <c r="N22" s="4" t="s">
        <v>2</v>
      </c>
      <c r="O22" s="4">
        <v>2</v>
      </c>
      <c r="P22" s="4">
        <v>0</v>
      </c>
    </row>
    <row r="23" spans="1:40" x14ac:dyDescent="0.2">
      <c r="A23" s="4">
        <v>50</v>
      </c>
      <c r="B23" s="4">
        <v>0</v>
      </c>
      <c r="C23" s="4">
        <v>0</v>
      </c>
      <c r="D23" s="4">
        <v>1</v>
      </c>
      <c r="E23" s="4">
        <v>225</v>
      </c>
      <c r="F23" s="4">
        <v>310125.26</v>
      </c>
      <c r="G23" s="4" t="s">
        <v>23</v>
      </c>
      <c r="H23" s="4" t="s">
        <v>24</v>
      </c>
      <c r="I23" s="4"/>
      <c r="J23" s="4"/>
      <c r="K23" s="4">
        <v>225</v>
      </c>
      <c r="L23" s="4">
        <v>4</v>
      </c>
      <c r="M23" s="4">
        <v>3</v>
      </c>
      <c r="N23" s="4" t="s">
        <v>2</v>
      </c>
      <c r="O23" s="4">
        <v>2</v>
      </c>
      <c r="P23" s="4">
        <v>40285.18</v>
      </c>
    </row>
    <row r="24" spans="1:40" x14ac:dyDescent="0.2">
      <c r="A24" s="4">
        <v>50</v>
      </c>
      <c r="B24" s="4">
        <v>0</v>
      </c>
      <c r="C24" s="4">
        <v>0</v>
      </c>
      <c r="D24" s="4">
        <v>1</v>
      </c>
      <c r="E24" s="4">
        <v>226</v>
      </c>
      <c r="F24" s="4">
        <v>310125.26</v>
      </c>
      <c r="G24" s="4" t="s">
        <v>25</v>
      </c>
      <c r="H24" s="4" t="s">
        <v>26</v>
      </c>
      <c r="I24" s="4"/>
      <c r="J24" s="4"/>
      <c r="K24" s="4">
        <v>226</v>
      </c>
      <c r="L24" s="4">
        <v>5</v>
      </c>
      <c r="M24" s="4">
        <v>3</v>
      </c>
      <c r="N24" s="4" t="s">
        <v>2</v>
      </c>
      <c r="O24" s="4">
        <v>2</v>
      </c>
      <c r="P24" s="4">
        <v>40285.18</v>
      </c>
    </row>
    <row r="25" spans="1:40" x14ac:dyDescent="0.2">
      <c r="A25" s="4">
        <v>50</v>
      </c>
      <c r="B25" s="4">
        <v>0</v>
      </c>
      <c r="C25" s="4">
        <v>0</v>
      </c>
      <c r="D25" s="4">
        <v>1</v>
      </c>
      <c r="E25" s="4">
        <v>227</v>
      </c>
      <c r="F25" s="4">
        <v>0</v>
      </c>
      <c r="G25" s="4" t="s">
        <v>27</v>
      </c>
      <c r="H25" s="4" t="s">
        <v>28</v>
      </c>
      <c r="I25" s="4"/>
      <c r="J25" s="4"/>
      <c r="K25" s="4">
        <v>227</v>
      </c>
      <c r="L25" s="4">
        <v>6</v>
      </c>
      <c r="M25" s="4">
        <v>3</v>
      </c>
      <c r="N25" s="4" t="s">
        <v>2</v>
      </c>
      <c r="O25" s="4">
        <v>2</v>
      </c>
      <c r="P25" s="4">
        <v>0</v>
      </c>
    </row>
    <row r="26" spans="1:40" x14ac:dyDescent="0.2">
      <c r="A26" s="4">
        <v>50</v>
      </c>
      <c r="B26" s="4">
        <v>0</v>
      </c>
      <c r="C26" s="4">
        <v>0</v>
      </c>
      <c r="D26" s="4">
        <v>1</v>
      </c>
      <c r="E26" s="4">
        <v>228</v>
      </c>
      <c r="F26" s="4">
        <v>310125.26</v>
      </c>
      <c r="G26" s="4" t="s">
        <v>29</v>
      </c>
      <c r="H26" s="4" t="s">
        <v>30</v>
      </c>
      <c r="I26" s="4"/>
      <c r="J26" s="4"/>
      <c r="K26" s="4">
        <v>228</v>
      </c>
      <c r="L26" s="4">
        <v>7</v>
      </c>
      <c r="M26" s="4">
        <v>3</v>
      </c>
      <c r="N26" s="4" t="s">
        <v>2</v>
      </c>
      <c r="O26" s="4">
        <v>2</v>
      </c>
      <c r="P26" s="4">
        <v>40285.18</v>
      </c>
    </row>
    <row r="27" spans="1:40" x14ac:dyDescent="0.2">
      <c r="A27" s="4">
        <v>50</v>
      </c>
      <c r="B27" s="4">
        <v>0</v>
      </c>
      <c r="C27" s="4">
        <v>0</v>
      </c>
      <c r="D27" s="4">
        <v>1</v>
      </c>
      <c r="E27" s="4">
        <v>216</v>
      </c>
      <c r="F27" s="4">
        <v>0</v>
      </c>
      <c r="G27" s="4" t="s">
        <v>31</v>
      </c>
      <c r="H27" s="4" t="s">
        <v>32</v>
      </c>
      <c r="I27" s="4"/>
      <c r="J27" s="4"/>
      <c r="K27" s="4">
        <v>216</v>
      </c>
      <c r="L27" s="4">
        <v>8</v>
      </c>
      <c r="M27" s="4">
        <v>3</v>
      </c>
      <c r="N27" s="4" t="s">
        <v>2</v>
      </c>
      <c r="O27" s="4">
        <v>2</v>
      </c>
      <c r="P27" s="4">
        <v>0</v>
      </c>
    </row>
    <row r="28" spans="1:40" x14ac:dyDescent="0.2">
      <c r="A28" s="4">
        <v>50</v>
      </c>
      <c r="B28" s="4">
        <v>0</v>
      </c>
      <c r="C28" s="4">
        <v>0</v>
      </c>
      <c r="D28" s="4">
        <v>1</v>
      </c>
      <c r="E28" s="4">
        <v>223</v>
      </c>
      <c r="F28" s="4">
        <v>0</v>
      </c>
      <c r="G28" s="4" t="s">
        <v>33</v>
      </c>
      <c r="H28" s="4" t="s">
        <v>34</v>
      </c>
      <c r="I28" s="4"/>
      <c r="J28" s="4"/>
      <c r="K28" s="4">
        <v>223</v>
      </c>
      <c r="L28" s="4">
        <v>9</v>
      </c>
      <c r="M28" s="4">
        <v>3</v>
      </c>
      <c r="N28" s="4" t="s">
        <v>2</v>
      </c>
      <c r="O28" s="4">
        <v>2</v>
      </c>
      <c r="P28" s="4">
        <v>0</v>
      </c>
    </row>
    <row r="29" spans="1:40" x14ac:dyDescent="0.2">
      <c r="A29" s="4">
        <v>50</v>
      </c>
      <c r="B29" s="4">
        <v>0</v>
      </c>
      <c r="C29" s="4">
        <v>0</v>
      </c>
      <c r="D29" s="4">
        <v>1</v>
      </c>
      <c r="E29" s="4">
        <v>229</v>
      </c>
      <c r="F29" s="4">
        <v>0</v>
      </c>
      <c r="G29" s="4" t="s">
        <v>35</v>
      </c>
      <c r="H29" s="4" t="s">
        <v>36</v>
      </c>
      <c r="I29" s="4"/>
      <c r="J29" s="4"/>
      <c r="K29" s="4">
        <v>229</v>
      </c>
      <c r="L29" s="4">
        <v>10</v>
      </c>
      <c r="M29" s="4">
        <v>3</v>
      </c>
      <c r="N29" s="4" t="s">
        <v>2</v>
      </c>
      <c r="O29" s="4">
        <v>2</v>
      </c>
      <c r="P29" s="4">
        <v>0</v>
      </c>
    </row>
    <row r="30" spans="1:40" x14ac:dyDescent="0.2">
      <c r="A30" s="4">
        <v>50</v>
      </c>
      <c r="B30" s="4">
        <v>0</v>
      </c>
      <c r="C30" s="4">
        <v>0</v>
      </c>
      <c r="D30" s="4">
        <v>1</v>
      </c>
      <c r="E30" s="4">
        <v>203</v>
      </c>
      <c r="F30" s="4">
        <v>1845</v>
      </c>
      <c r="G30" s="4" t="s">
        <v>37</v>
      </c>
      <c r="H30" s="4" t="s">
        <v>38</v>
      </c>
      <c r="I30" s="4"/>
      <c r="J30" s="4"/>
      <c r="K30" s="4">
        <v>203</v>
      </c>
      <c r="L30" s="4">
        <v>11</v>
      </c>
      <c r="M30" s="4">
        <v>3</v>
      </c>
      <c r="N30" s="4" t="s">
        <v>2</v>
      </c>
      <c r="O30" s="4">
        <v>2</v>
      </c>
      <c r="P30" s="4">
        <v>196.49</v>
      </c>
    </row>
    <row r="31" spans="1:40" x14ac:dyDescent="0.2">
      <c r="A31" s="4">
        <v>50</v>
      </c>
      <c r="B31" s="4">
        <v>0</v>
      </c>
      <c r="C31" s="4">
        <v>0</v>
      </c>
      <c r="D31" s="4">
        <v>1</v>
      </c>
      <c r="E31" s="4">
        <v>231</v>
      </c>
      <c r="F31" s="4">
        <v>0</v>
      </c>
      <c r="G31" s="4" t="s">
        <v>39</v>
      </c>
      <c r="H31" s="4" t="s">
        <v>40</v>
      </c>
      <c r="I31" s="4"/>
      <c r="J31" s="4"/>
      <c r="K31" s="4">
        <v>231</v>
      </c>
      <c r="L31" s="4">
        <v>12</v>
      </c>
      <c r="M31" s="4">
        <v>3</v>
      </c>
      <c r="N31" s="4" t="s">
        <v>2</v>
      </c>
      <c r="O31" s="4">
        <v>2</v>
      </c>
      <c r="P31" s="4">
        <v>0</v>
      </c>
    </row>
    <row r="32" spans="1:40" x14ac:dyDescent="0.2">
      <c r="A32" s="4">
        <v>50</v>
      </c>
      <c r="B32" s="4">
        <v>0</v>
      </c>
      <c r="C32" s="4">
        <v>0</v>
      </c>
      <c r="D32" s="4">
        <v>1</v>
      </c>
      <c r="E32" s="4">
        <v>204</v>
      </c>
      <c r="F32" s="4">
        <v>1350.87</v>
      </c>
      <c r="G32" s="4" t="s">
        <v>41</v>
      </c>
      <c r="H32" s="4" t="s">
        <v>42</v>
      </c>
      <c r="I32" s="4"/>
      <c r="J32" s="4"/>
      <c r="K32" s="4">
        <v>204</v>
      </c>
      <c r="L32" s="4">
        <v>13</v>
      </c>
      <c r="M32" s="4">
        <v>3</v>
      </c>
      <c r="N32" s="4" t="s">
        <v>2</v>
      </c>
      <c r="O32" s="4">
        <v>2</v>
      </c>
      <c r="P32" s="4">
        <v>44.68</v>
      </c>
    </row>
    <row r="33" spans="1:16" x14ac:dyDescent="0.2">
      <c r="A33" s="4">
        <v>50</v>
      </c>
      <c r="B33" s="4">
        <v>0</v>
      </c>
      <c r="C33" s="4">
        <v>0</v>
      </c>
      <c r="D33" s="4">
        <v>1</v>
      </c>
      <c r="E33" s="4">
        <v>205</v>
      </c>
      <c r="F33" s="4">
        <v>472099.34</v>
      </c>
      <c r="G33" s="4" t="s">
        <v>43</v>
      </c>
      <c r="H33" s="4" t="s">
        <v>44</v>
      </c>
      <c r="I33" s="4"/>
      <c r="J33" s="4"/>
      <c r="K33" s="4">
        <v>205</v>
      </c>
      <c r="L33" s="4">
        <v>14</v>
      </c>
      <c r="M33" s="4">
        <v>3</v>
      </c>
      <c r="N33" s="4" t="s">
        <v>2</v>
      </c>
      <c r="O33" s="4">
        <v>2</v>
      </c>
      <c r="P33" s="4">
        <v>15611.76</v>
      </c>
    </row>
    <row r="34" spans="1:16" x14ac:dyDescent="0.2">
      <c r="A34" s="4">
        <v>50</v>
      </c>
      <c r="B34" s="4">
        <v>0</v>
      </c>
      <c r="C34" s="4">
        <v>0</v>
      </c>
      <c r="D34" s="4">
        <v>1</v>
      </c>
      <c r="E34" s="4">
        <v>232</v>
      </c>
      <c r="F34" s="4">
        <v>0</v>
      </c>
      <c r="G34" s="4" t="s">
        <v>45</v>
      </c>
      <c r="H34" s="4" t="s">
        <v>46</v>
      </c>
      <c r="I34" s="4"/>
      <c r="J34" s="4"/>
      <c r="K34" s="4">
        <v>232</v>
      </c>
      <c r="L34" s="4">
        <v>15</v>
      </c>
      <c r="M34" s="4">
        <v>3</v>
      </c>
      <c r="N34" s="4" t="s">
        <v>2</v>
      </c>
      <c r="O34" s="4">
        <v>2</v>
      </c>
      <c r="P34" s="4">
        <v>0</v>
      </c>
    </row>
    <row r="35" spans="1:16" x14ac:dyDescent="0.2">
      <c r="A35" s="4">
        <v>50</v>
      </c>
      <c r="B35" s="4">
        <v>0</v>
      </c>
      <c r="C35" s="4">
        <v>0</v>
      </c>
      <c r="D35" s="4">
        <v>1</v>
      </c>
      <c r="E35" s="4">
        <v>214</v>
      </c>
      <c r="F35" s="4">
        <v>1357043.06</v>
      </c>
      <c r="G35" s="4" t="s">
        <v>47</v>
      </c>
      <c r="H35" s="4" t="s">
        <v>48</v>
      </c>
      <c r="I35" s="4"/>
      <c r="J35" s="4"/>
      <c r="K35" s="4">
        <v>214</v>
      </c>
      <c r="L35" s="4">
        <v>16</v>
      </c>
      <c r="M35" s="4">
        <v>3</v>
      </c>
      <c r="N35" s="4" t="s">
        <v>2</v>
      </c>
      <c r="O35" s="4">
        <v>2</v>
      </c>
      <c r="P35" s="4">
        <v>49508.67</v>
      </c>
    </row>
    <row r="36" spans="1:16" x14ac:dyDescent="0.2">
      <c r="A36" s="4">
        <v>50</v>
      </c>
      <c r="B36" s="4">
        <v>0</v>
      </c>
      <c r="C36" s="4">
        <v>0</v>
      </c>
      <c r="D36" s="4">
        <v>1</v>
      </c>
      <c r="E36" s="4">
        <v>215</v>
      </c>
      <c r="F36" s="4">
        <v>0</v>
      </c>
      <c r="G36" s="4" t="s">
        <v>49</v>
      </c>
      <c r="H36" s="4" t="s">
        <v>50</v>
      </c>
      <c r="I36" s="4"/>
      <c r="J36" s="4"/>
      <c r="K36" s="4">
        <v>215</v>
      </c>
      <c r="L36" s="4">
        <v>17</v>
      </c>
      <c r="M36" s="4">
        <v>3</v>
      </c>
      <c r="N36" s="4" t="s">
        <v>2</v>
      </c>
      <c r="O36" s="4">
        <v>2</v>
      </c>
      <c r="P36" s="4">
        <v>0</v>
      </c>
    </row>
    <row r="37" spans="1:16" x14ac:dyDescent="0.2">
      <c r="A37" s="4">
        <v>50</v>
      </c>
      <c r="B37" s="4">
        <v>0</v>
      </c>
      <c r="C37" s="4">
        <v>0</v>
      </c>
      <c r="D37" s="4">
        <v>1</v>
      </c>
      <c r="E37" s="4">
        <v>217</v>
      </c>
      <c r="F37" s="4">
        <v>291000.40000000002</v>
      </c>
      <c r="G37" s="4" t="s">
        <v>51</v>
      </c>
      <c r="H37" s="4" t="s">
        <v>52</v>
      </c>
      <c r="I37" s="4"/>
      <c r="J37" s="4"/>
      <c r="K37" s="4">
        <v>217</v>
      </c>
      <c r="L37" s="4">
        <v>18</v>
      </c>
      <c r="M37" s="4">
        <v>3</v>
      </c>
      <c r="N37" s="4" t="s">
        <v>2</v>
      </c>
      <c r="O37" s="4">
        <v>2</v>
      </c>
      <c r="P37" s="4">
        <v>36882.18</v>
      </c>
    </row>
    <row r="38" spans="1:16" x14ac:dyDescent="0.2">
      <c r="A38" s="4">
        <v>50</v>
      </c>
      <c r="B38" s="4">
        <v>0</v>
      </c>
      <c r="C38" s="4">
        <v>0</v>
      </c>
      <c r="D38" s="4">
        <v>1</v>
      </c>
      <c r="E38" s="4">
        <v>230</v>
      </c>
      <c r="F38" s="4">
        <v>0</v>
      </c>
      <c r="G38" s="4" t="s">
        <v>53</v>
      </c>
      <c r="H38" s="4" t="s">
        <v>54</v>
      </c>
      <c r="I38" s="4"/>
      <c r="J38" s="4"/>
      <c r="K38" s="4">
        <v>230</v>
      </c>
      <c r="L38" s="4">
        <v>19</v>
      </c>
      <c r="M38" s="4">
        <v>3</v>
      </c>
      <c r="N38" s="4" t="s">
        <v>2</v>
      </c>
      <c r="O38" s="4">
        <v>2</v>
      </c>
      <c r="P38" s="4">
        <v>0</v>
      </c>
    </row>
    <row r="39" spans="1:16" x14ac:dyDescent="0.2">
      <c r="A39" s="4">
        <v>50</v>
      </c>
      <c r="B39" s="4">
        <v>0</v>
      </c>
      <c r="C39" s="4">
        <v>0</v>
      </c>
      <c r="D39" s="4">
        <v>1</v>
      </c>
      <c r="E39" s="4">
        <v>206</v>
      </c>
      <c r="F39" s="4">
        <v>0</v>
      </c>
      <c r="G39" s="4" t="s">
        <v>55</v>
      </c>
      <c r="H39" s="4" t="s">
        <v>56</v>
      </c>
      <c r="I39" s="4"/>
      <c r="J39" s="4"/>
      <c r="K39" s="4">
        <v>206</v>
      </c>
      <c r="L39" s="4">
        <v>20</v>
      </c>
      <c r="M39" s="4">
        <v>3</v>
      </c>
      <c r="N39" s="4" t="s">
        <v>2</v>
      </c>
      <c r="O39" s="4">
        <v>2</v>
      </c>
      <c r="P39" s="4">
        <v>0</v>
      </c>
    </row>
    <row r="40" spans="1:16" x14ac:dyDescent="0.2">
      <c r="A40" s="4">
        <v>50</v>
      </c>
      <c r="B40" s="4">
        <v>0</v>
      </c>
      <c r="C40" s="4">
        <v>0</v>
      </c>
      <c r="D40" s="4">
        <v>1</v>
      </c>
      <c r="E40" s="4">
        <v>207</v>
      </c>
      <c r="F40" s="4">
        <v>1940.9490221599999</v>
      </c>
      <c r="G40" s="4" t="s">
        <v>57</v>
      </c>
      <c r="H40" s="4" t="s">
        <v>58</v>
      </c>
      <c r="I40" s="4"/>
      <c r="J40" s="4"/>
      <c r="K40" s="4">
        <v>207</v>
      </c>
      <c r="L40" s="4">
        <v>21</v>
      </c>
      <c r="M40" s="4">
        <v>3</v>
      </c>
      <c r="N40" s="4" t="s">
        <v>2</v>
      </c>
      <c r="O40" s="4">
        <v>-1</v>
      </c>
      <c r="P40" s="4">
        <v>1940.9490221599999</v>
      </c>
    </row>
    <row r="41" spans="1:16" x14ac:dyDescent="0.2">
      <c r="A41" s="4">
        <v>50</v>
      </c>
      <c r="B41" s="4">
        <v>0</v>
      </c>
      <c r="C41" s="4">
        <v>0</v>
      </c>
      <c r="D41" s="4">
        <v>1</v>
      </c>
      <c r="E41" s="4">
        <v>208</v>
      </c>
      <c r="F41" s="4">
        <v>3.6644747999999998</v>
      </c>
      <c r="G41" s="4" t="s">
        <v>59</v>
      </c>
      <c r="H41" s="4" t="s">
        <v>60</v>
      </c>
      <c r="I41" s="4"/>
      <c r="J41" s="4"/>
      <c r="K41" s="4">
        <v>208</v>
      </c>
      <c r="L41" s="4">
        <v>22</v>
      </c>
      <c r="M41" s="4">
        <v>3</v>
      </c>
      <c r="N41" s="4" t="s">
        <v>2</v>
      </c>
      <c r="O41" s="4">
        <v>-1</v>
      </c>
      <c r="P41" s="4">
        <v>3.6644747999999998</v>
      </c>
    </row>
    <row r="42" spans="1:16" x14ac:dyDescent="0.2">
      <c r="A42" s="4">
        <v>50</v>
      </c>
      <c r="B42" s="4">
        <v>0</v>
      </c>
      <c r="C42" s="4">
        <v>0</v>
      </c>
      <c r="D42" s="4">
        <v>1</v>
      </c>
      <c r="E42" s="4">
        <v>209</v>
      </c>
      <c r="F42" s="4">
        <v>0</v>
      </c>
      <c r="G42" s="4" t="s">
        <v>61</v>
      </c>
      <c r="H42" s="4" t="s">
        <v>62</v>
      </c>
      <c r="I42" s="4"/>
      <c r="J42" s="4"/>
      <c r="K42" s="4">
        <v>209</v>
      </c>
      <c r="L42" s="4">
        <v>23</v>
      </c>
      <c r="M42" s="4">
        <v>3</v>
      </c>
      <c r="N42" s="4" t="s">
        <v>2</v>
      </c>
      <c r="O42" s="4">
        <v>2</v>
      </c>
      <c r="P42" s="4">
        <v>0</v>
      </c>
    </row>
    <row r="43" spans="1:16" x14ac:dyDescent="0.2">
      <c r="A43" s="4">
        <v>50</v>
      </c>
      <c r="B43" s="4">
        <v>0</v>
      </c>
      <c r="C43" s="4">
        <v>0</v>
      </c>
      <c r="D43" s="4">
        <v>1</v>
      </c>
      <c r="E43" s="4">
        <v>210</v>
      </c>
      <c r="F43" s="4">
        <v>499798.45</v>
      </c>
      <c r="G43" s="4" t="s">
        <v>63</v>
      </c>
      <c r="H43" s="4" t="s">
        <v>64</v>
      </c>
      <c r="I43" s="4"/>
      <c r="J43" s="4"/>
      <c r="K43" s="4">
        <v>210</v>
      </c>
      <c r="L43" s="4">
        <v>24</v>
      </c>
      <c r="M43" s="4">
        <v>3</v>
      </c>
      <c r="N43" s="4" t="s">
        <v>2</v>
      </c>
      <c r="O43" s="4">
        <v>2</v>
      </c>
      <c r="P43" s="4">
        <v>16527.740000000002</v>
      </c>
    </row>
    <row r="44" spans="1:16" x14ac:dyDescent="0.2">
      <c r="A44" s="4">
        <v>50</v>
      </c>
      <c r="B44" s="4">
        <v>0</v>
      </c>
      <c r="C44" s="4">
        <v>0</v>
      </c>
      <c r="D44" s="4">
        <v>1</v>
      </c>
      <c r="E44" s="4">
        <v>211</v>
      </c>
      <c r="F44" s="4">
        <v>303761.99</v>
      </c>
      <c r="G44" s="4" t="s">
        <v>65</v>
      </c>
      <c r="H44" s="4" t="s">
        <v>66</v>
      </c>
      <c r="I44" s="4"/>
      <c r="J44" s="4"/>
      <c r="K44" s="4">
        <v>211</v>
      </c>
      <c r="L44" s="4">
        <v>25</v>
      </c>
      <c r="M44" s="4">
        <v>3</v>
      </c>
      <c r="N44" s="4" t="s">
        <v>2</v>
      </c>
      <c r="O44" s="4">
        <v>2</v>
      </c>
      <c r="P44" s="4">
        <v>10045.049999999999</v>
      </c>
    </row>
    <row r="45" spans="1:16" x14ac:dyDescent="0.2">
      <c r="A45" s="4">
        <v>50</v>
      </c>
      <c r="B45" s="4">
        <v>0</v>
      </c>
      <c r="C45" s="4">
        <v>0</v>
      </c>
      <c r="D45" s="4">
        <v>1</v>
      </c>
      <c r="E45" s="4">
        <v>224</v>
      </c>
      <c r="F45" s="4">
        <v>1648043.46</v>
      </c>
      <c r="G45" s="4" t="s">
        <v>67</v>
      </c>
      <c r="H45" s="4" t="s">
        <v>68</v>
      </c>
      <c r="I45" s="4"/>
      <c r="J45" s="4"/>
      <c r="K45" s="4">
        <v>224</v>
      </c>
      <c r="L45" s="4">
        <v>26</v>
      </c>
      <c r="M45" s="4">
        <v>3</v>
      </c>
      <c r="N45" s="4" t="s">
        <v>2</v>
      </c>
      <c r="O45" s="4">
        <v>2</v>
      </c>
      <c r="P45" s="4">
        <v>86390.85</v>
      </c>
    </row>
    <row r="46" spans="1:16" x14ac:dyDescent="0.2">
      <c r="A46" s="4">
        <v>50</v>
      </c>
      <c r="B46" s="4">
        <v>1</v>
      </c>
      <c r="C46" s="4">
        <v>0</v>
      </c>
      <c r="D46" s="4">
        <v>2</v>
      </c>
      <c r="E46" s="4">
        <v>0</v>
      </c>
      <c r="F46" s="4">
        <v>1648043.46</v>
      </c>
      <c r="G46" s="4" t="s">
        <v>70</v>
      </c>
      <c r="H46" s="4" t="s">
        <v>70</v>
      </c>
      <c r="I46" s="4"/>
      <c r="J46" s="4"/>
      <c r="K46" s="4">
        <v>212</v>
      </c>
      <c r="L46" s="4">
        <v>27</v>
      </c>
      <c r="M46" s="4">
        <v>0</v>
      </c>
      <c r="N46" s="4" t="s">
        <v>2</v>
      </c>
      <c r="O46" s="4">
        <v>2</v>
      </c>
      <c r="P46" s="4">
        <v>86390.85</v>
      </c>
    </row>
    <row r="47" spans="1:16" x14ac:dyDescent="0.2">
      <c r="A47" s="4">
        <v>50</v>
      </c>
      <c r="B47" s="4">
        <f>IF(SourceObSm!F47&lt;&gt;0,1,0)</f>
        <v>0</v>
      </c>
      <c r="C47" s="4">
        <v>0</v>
      </c>
      <c r="D47" s="4">
        <v>2</v>
      </c>
      <c r="E47" s="4">
        <v>0</v>
      </c>
      <c r="F47" s="4">
        <v>0</v>
      </c>
      <c r="G47" s="4" t="s">
        <v>71</v>
      </c>
      <c r="H47" s="4" t="s">
        <v>72</v>
      </c>
      <c r="I47" s="4"/>
      <c r="J47" s="4"/>
      <c r="K47" s="4">
        <v>212</v>
      </c>
      <c r="L47" s="4">
        <v>28</v>
      </c>
      <c r="M47" s="4">
        <v>1</v>
      </c>
      <c r="N47" s="4" t="s">
        <v>2</v>
      </c>
      <c r="O47" s="4">
        <v>2</v>
      </c>
      <c r="P47" s="4">
        <v>0</v>
      </c>
    </row>
    <row r="48" spans="1:16" x14ac:dyDescent="0.2">
      <c r="A48" s="4">
        <v>50</v>
      </c>
      <c r="B48" s="4">
        <f>IF(SourceObSm!F48&lt;&gt;0,1,0)</f>
        <v>1</v>
      </c>
      <c r="C48" s="4">
        <v>0</v>
      </c>
      <c r="D48" s="4">
        <v>2</v>
      </c>
      <c r="E48" s="4">
        <v>0</v>
      </c>
      <c r="F48" s="4">
        <v>291000.40000000002</v>
      </c>
      <c r="G48" s="4" t="s">
        <v>73</v>
      </c>
      <c r="H48" s="4" t="s">
        <v>74</v>
      </c>
      <c r="I48" s="4"/>
      <c r="J48" s="4"/>
      <c r="K48" s="4">
        <v>212</v>
      </c>
      <c r="L48" s="4">
        <v>29</v>
      </c>
      <c r="M48" s="4">
        <v>1</v>
      </c>
      <c r="N48" s="4" t="s">
        <v>2</v>
      </c>
      <c r="O48" s="4">
        <v>2</v>
      </c>
      <c r="P48" s="4">
        <v>36882.18</v>
      </c>
    </row>
    <row r="49" spans="1:27" x14ac:dyDescent="0.2">
      <c r="A49" s="4">
        <v>50</v>
      </c>
      <c r="B49" s="4">
        <v>1</v>
      </c>
      <c r="C49" s="4">
        <v>0</v>
      </c>
      <c r="D49" s="4">
        <v>2</v>
      </c>
      <c r="E49" s="4">
        <v>0</v>
      </c>
      <c r="F49" s="4">
        <v>1648043.46</v>
      </c>
      <c r="G49" s="4" t="s">
        <v>76</v>
      </c>
      <c r="H49" s="4" t="s">
        <v>70</v>
      </c>
      <c r="I49" s="4"/>
      <c r="J49" s="4"/>
      <c r="K49" s="4">
        <v>212</v>
      </c>
      <c r="L49" s="4">
        <v>30</v>
      </c>
      <c r="M49" s="4">
        <v>0</v>
      </c>
      <c r="N49" s="4" t="s">
        <v>2</v>
      </c>
      <c r="O49" s="4">
        <v>2</v>
      </c>
      <c r="P49" s="4">
        <v>86390.85</v>
      </c>
    </row>
    <row r="50" spans="1:27" x14ac:dyDescent="0.2">
      <c r="A50" s="4">
        <v>50</v>
      </c>
      <c r="B50" s="4">
        <v>1</v>
      </c>
      <c r="C50" s="4">
        <v>0</v>
      </c>
      <c r="D50" s="4">
        <v>2</v>
      </c>
      <c r="E50" s="4">
        <v>0</v>
      </c>
      <c r="F50" s="4">
        <v>329608.69</v>
      </c>
      <c r="G50" s="4" t="s">
        <v>77</v>
      </c>
      <c r="H50" s="4" t="s">
        <v>78</v>
      </c>
      <c r="I50" s="4"/>
      <c r="J50" s="4"/>
      <c r="K50" s="4">
        <v>212</v>
      </c>
      <c r="L50" s="4">
        <v>31</v>
      </c>
      <c r="M50" s="4">
        <v>0</v>
      </c>
      <c r="N50" s="4" t="s">
        <v>2</v>
      </c>
      <c r="O50" s="4">
        <v>2</v>
      </c>
      <c r="P50" s="4">
        <v>17278.169999999998</v>
      </c>
    </row>
    <row r="51" spans="1:27" x14ac:dyDescent="0.2">
      <c r="A51" s="4">
        <v>50</v>
      </c>
      <c r="B51" s="4">
        <v>1</v>
      </c>
      <c r="C51" s="4">
        <v>0</v>
      </c>
      <c r="D51" s="4">
        <v>2</v>
      </c>
      <c r="E51" s="4">
        <v>0</v>
      </c>
      <c r="F51" s="4">
        <v>1977652.15</v>
      </c>
      <c r="G51" s="4" t="s">
        <v>79</v>
      </c>
      <c r="H51" s="4" t="s">
        <v>80</v>
      </c>
      <c r="I51" s="4"/>
      <c r="J51" s="4"/>
      <c r="K51" s="4">
        <v>212</v>
      </c>
      <c r="L51" s="4">
        <v>32</v>
      </c>
      <c r="M51" s="4">
        <v>0</v>
      </c>
      <c r="N51" s="4" t="s">
        <v>2</v>
      </c>
      <c r="O51" s="4">
        <v>2</v>
      </c>
      <c r="P51" s="4">
        <v>103669.02</v>
      </c>
    </row>
    <row r="53" spans="1:27" x14ac:dyDescent="0.2">
      <c r="A53">
        <v>-1</v>
      </c>
    </row>
    <row r="56" spans="1:27" x14ac:dyDescent="0.2">
      <c r="A56" s="3">
        <v>75</v>
      </c>
      <c r="B56" s="3" t="s">
        <v>81</v>
      </c>
      <c r="C56" s="3">
        <v>2019</v>
      </c>
      <c r="D56" s="3">
        <v>0</v>
      </c>
      <c r="E56" s="3">
        <v>7</v>
      </c>
      <c r="F56" s="3">
        <v>0</v>
      </c>
      <c r="G56" s="3">
        <v>0</v>
      </c>
      <c r="H56" s="3">
        <v>1</v>
      </c>
      <c r="I56" s="3">
        <v>0</v>
      </c>
      <c r="J56" s="3">
        <v>3</v>
      </c>
      <c r="K56" s="3">
        <v>0</v>
      </c>
      <c r="L56" s="3">
        <v>0</v>
      </c>
      <c r="M56" s="3">
        <v>1</v>
      </c>
      <c r="N56" s="3">
        <v>49290730</v>
      </c>
      <c r="O56" s="3">
        <v>1</v>
      </c>
    </row>
    <row r="57" spans="1:27" x14ac:dyDescent="0.2">
      <c r="A57" s="5">
        <v>1</v>
      </c>
      <c r="B57" s="5" t="s">
        <v>82</v>
      </c>
      <c r="C57" s="5" t="s">
        <v>83</v>
      </c>
      <c r="D57" s="5">
        <v>2019</v>
      </c>
      <c r="E57" s="5">
        <v>7</v>
      </c>
      <c r="F57" s="5">
        <v>1</v>
      </c>
      <c r="G57" s="5">
        <v>1</v>
      </c>
      <c r="H57" s="5">
        <v>0</v>
      </c>
      <c r="I57" s="5">
        <v>2</v>
      </c>
      <c r="J57" s="5">
        <v>1</v>
      </c>
      <c r="K57" s="5">
        <v>1</v>
      </c>
      <c r="L57" s="5">
        <v>1</v>
      </c>
      <c r="M57" s="5">
        <v>7.89</v>
      </c>
      <c r="N57" s="5">
        <v>1</v>
      </c>
      <c r="O57" s="5">
        <v>1</v>
      </c>
      <c r="P57" s="5">
        <v>1</v>
      </c>
      <c r="Q57" s="5">
        <v>7.89</v>
      </c>
      <c r="R57" s="5" t="s">
        <v>2</v>
      </c>
      <c r="S57" s="5" t="s">
        <v>2</v>
      </c>
      <c r="T57" s="5" t="s">
        <v>2</v>
      </c>
      <c r="U57" s="5" t="s">
        <v>2</v>
      </c>
      <c r="V57" s="5" t="s">
        <v>2</v>
      </c>
      <c r="W57" s="5" t="s">
        <v>2</v>
      </c>
      <c r="X57" s="5" t="s">
        <v>2</v>
      </c>
      <c r="Y57" s="5" t="s">
        <v>2</v>
      </c>
      <c r="Z57" s="5" t="s">
        <v>2</v>
      </c>
      <c r="AA57" s="5" t="s">
        <v>2</v>
      </c>
    </row>
    <row r="58" spans="1:27" x14ac:dyDescent="0.2">
      <c r="A58" s="3">
        <v>75</v>
      </c>
      <c r="B58" s="3" t="s">
        <v>84</v>
      </c>
      <c r="C58" s="3">
        <v>2000</v>
      </c>
      <c r="D58" s="3">
        <v>0</v>
      </c>
      <c r="E58" s="3">
        <v>1</v>
      </c>
      <c r="F58" s="3"/>
      <c r="G58" s="3">
        <v>0</v>
      </c>
      <c r="H58" s="3">
        <v>1</v>
      </c>
      <c r="I58" s="3">
        <v>0</v>
      </c>
      <c r="J58" s="3">
        <v>3</v>
      </c>
      <c r="K58" s="3">
        <v>0</v>
      </c>
      <c r="L58" s="3">
        <v>0</v>
      </c>
      <c r="M58" s="3">
        <v>0</v>
      </c>
      <c r="N58" s="3">
        <v>49290729</v>
      </c>
      <c r="O58" s="3">
        <v>2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 t="e">
        <f>ROW(#REF!)</f>
        <v>#REF!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86</v>
      </c>
      <c r="J1" t="s">
        <v>2</v>
      </c>
      <c r="K1" t="s">
        <v>87</v>
      </c>
      <c r="L1">
        <v>1191</v>
      </c>
      <c r="N1">
        <v>1013</v>
      </c>
      <c r="O1" t="s">
        <v>88</v>
      </c>
      <c r="P1" t="s">
        <v>88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2</v>
      </c>
      <c r="AT1">
        <v>29.52</v>
      </c>
      <c r="AU1" t="s">
        <v>2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 t="e">
        <f>Y1*#REF!</f>
        <v>#REF!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 t="e">
        <f>ROW(#REF!)</f>
        <v>#REF!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86</v>
      </c>
      <c r="J2" t="s">
        <v>2</v>
      </c>
      <c r="K2" t="s">
        <v>87</v>
      </c>
      <c r="L2">
        <v>1191</v>
      </c>
      <c r="N2">
        <v>1013</v>
      </c>
      <c r="O2" t="s">
        <v>88</v>
      </c>
      <c r="P2" t="s">
        <v>88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2</v>
      </c>
      <c r="AT2">
        <v>29.52</v>
      </c>
      <c r="AU2" t="s">
        <v>2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 t="e">
        <f>Y2*#REF!</f>
        <v>#REF!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 t="e">
        <f>ROW(#REF!)</f>
        <v>#REF!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86</v>
      </c>
      <c r="J3" t="s">
        <v>2</v>
      </c>
      <c r="K3" t="s">
        <v>87</v>
      </c>
      <c r="L3">
        <v>1191</v>
      </c>
      <c r="N3">
        <v>1013</v>
      </c>
      <c r="O3" t="s">
        <v>88</v>
      </c>
      <c r="P3" t="s">
        <v>88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2</v>
      </c>
      <c r="AT3">
        <v>22.82</v>
      </c>
      <c r="AU3" t="s">
        <v>14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 t="e">
        <f>Y3*#REF!</f>
        <v>#REF!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 t="e">
        <f>ROW(#REF!)</f>
        <v>#REF!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86</v>
      </c>
      <c r="J4" t="s">
        <v>2</v>
      </c>
      <c r="K4" t="s">
        <v>87</v>
      </c>
      <c r="L4">
        <v>1191</v>
      </c>
      <c r="N4">
        <v>1013</v>
      </c>
      <c r="O4" t="s">
        <v>88</v>
      </c>
      <c r="P4" t="s">
        <v>88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2</v>
      </c>
      <c r="AT4">
        <v>22.82</v>
      </c>
      <c r="AU4" t="s">
        <v>14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 t="e">
        <f>Y4*#REF!</f>
        <v>#REF!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 t="e">
        <f>ROW(#REF!)</f>
        <v>#REF!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89</v>
      </c>
      <c r="J5" t="s">
        <v>2</v>
      </c>
      <c r="K5" t="s">
        <v>90</v>
      </c>
      <c r="L5">
        <v>1191</v>
      </c>
      <c r="N5">
        <v>1013</v>
      </c>
      <c r="O5" t="s">
        <v>88</v>
      </c>
      <c r="P5" t="s">
        <v>88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2</v>
      </c>
      <c r="AT5">
        <v>24.98</v>
      </c>
      <c r="AU5" t="s">
        <v>16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 t="e">
        <f>Y5*#REF!</f>
        <v>#REF!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 t="e">
        <f>ROW(#REF!)</f>
        <v>#REF!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91</v>
      </c>
      <c r="J6" t="s">
        <v>2</v>
      </c>
      <c r="K6" t="s">
        <v>92</v>
      </c>
      <c r="L6">
        <v>1191</v>
      </c>
      <c r="N6">
        <v>1013</v>
      </c>
      <c r="O6" t="s">
        <v>88</v>
      </c>
      <c r="P6" t="s">
        <v>88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2</v>
      </c>
      <c r="AT6">
        <v>0.21</v>
      </c>
      <c r="AU6" t="s">
        <v>2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 t="e">
        <f>Y6*#REF!</f>
        <v>#REF!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 t="e">
        <f>ROW(#REF!)</f>
        <v>#REF!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93</v>
      </c>
      <c r="J7" t="s">
        <v>94</v>
      </c>
      <c r="K7" t="s">
        <v>95</v>
      </c>
      <c r="L7">
        <v>1368</v>
      </c>
      <c r="N7">
        <v>1011</v>
      </c>
      <c r="O7" t="s">
        <v>96</v>
      </c>
      <c r="P7" t="s">
        <v>96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2</v>
      </c>
      <c r="AT7">
        <v>0.08</v>
      </c>
      <c r="AU7" t="s">
        <v>16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 t="e">
        <f>Y7*#REF!</f>
        <v>#REF!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 t="e">
        <f>ROW(#REF!)</f>
        <v>#REF!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97</v>
      </c>
      <c r="J8" t="s">
        <v>98</v>
      </c>
      <c r="K8" t="s">
        <v>99</v>
      </c>
      <c r="L8">
        <v>1368</v>
      </c>
      <c r="N8">
        <v>1011</v>
      </c>
      <c r="O8" t="s">
        <v>96</v>
      </c>
      <c r="P8" t="s">
        <v>96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2</v>
      </c>
      <c r="AT8">
        <v>0.13</v>
      </c>
      <c r="AU8" t="s">
        <v>16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 t="e">
        <f>Y8*#REF!</f>
        <v>#REF!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 t="e">
        <f>ROW(#REF!)</f>
        <v>#REF!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100</v>
      </c>
      <c r="J9" t="s">
        <v>101</v>
      </c>
      <c r="K9" t="s">
        <v>102</v>
      </c>
      <c r="L9">
        <v>1348</v>
      </c>
      <c r="N9">
        <v>1009</v>
      </c>
      <c r="O9" t="s">
        <v>69</v>
      </c>
      <c r="P9" t="s">
        <v>69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2</v>
      </c>
      <c r="AT9">
        <v>1.2999999999999999E-3</v>
      </c>
      <c r="AU9" t="s">
        <v>15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 t="e">
        <f>Y9*#REF!</f>
        <v>#REF!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 t="e">
        <f>ROW(#REF!)</f>
        <v>#REF!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103</v>
      </c>
      <c r="J10" t="s">
        <v>104</v>
      </c>
      <c r="K10" t="s">
        <v>105</v>
      </c>
      <c r="L10">
        <v>1348</v>
      </c>
      <c r="N10">
        <v>1009</v>
      </c>
      <c r="O10" t="s">
        <v>69</v>
      </c>
      <c r="P10" t="s">
        <v>69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2</v>
      </c>
      <c r="AT10">
        <v>0.36</v>
      </c>
      <c r="AU10" t="s">
        <v>15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 t="e">
        <f>Y10*#REF!</f>
        <v>#REF!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 t="e">
        <f>ROW(#REF!)</f>
        <v>#REF!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89</v>
      </c>
      <c r="J11" t="s">
        <v>2</v>
      </c>
      <c r="K11" t="s">
        <v>90</v>
      </c>
      <c r="L11">
        <v>1191</v>
      </c>
      <c r="N11">
        <v>1013</v>
      </c>
      <c r="O11" t="s">
        <v>88</v>
      </c>
      <c r="P11" t="s">
        <v>88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2</v>
      </c>
      <c r="AT11">
        <v>24.98</v>
      </c>
      <c r="AU11" t="s">
        <v>16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 t="e">
        <f>Y11*#REF!</f>
        <v>#REF!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 t="e">
        <f>ROW(#REF!)</f>
        <v>#REF!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91</v>
      </c>
      <c r="J12" t="s">
        <v>2</v>
      </c>
      <c r="K12" t="s">
        <v>92</v>
      </c>
      <c r="L12">
        <v>1191</v>
      </c>
      <c r="N12">
        <v>1013</v>
      </c>
      <c r="O12" t="s">
        <v>88</v>
      </c>
      <c r="P12" t="s">
        <v>88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2</v>
      </c>
      <c r="AT12">
        <v>0.21</v>
      </c>
      <c r="AU12" t="s">
        <v>2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 t="e">
        <f>Y12*#REF!</f>
        <v>#REF!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 t="e">
        <f>ROW(#REF!)</f>
        <v>#REF!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93</v>
      </c>
      <c r="J13" t="s">
        <v>94</v>
      </c>
      <c r="K13" t="s">
        <v>95</v>
      </c>
      <c r="L13">
        <v>1368</v>
      </c>
      <c r="N13">
        <v>1011</v>
      </c>
      <c r="O13" t="s">
        <v>96</v>
      </c>
      <c r="P13" t="s">
        <v>96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2</v>
      </c>
      <c r="AT13">
        <v>0.08</v>
      </c>
      <c r="AU13" t="s">
        <v>16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 t="e">
        <f>Y13*#REF!</f>
        <v>#REF!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 t="e">
        <f>ROW(#REF!)</f>
        <v>#REF!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97</v>
      </c>
      <c r="J14" t="s">
        <v>98</v>
      </c>
      <c r="K14" t="s">
        <v>99</v>
      </c>
      <c r="L14">
        <v>1368</v>
      </c>
      <c r="N14">
        <v>1011</v>
      </c>
      <c r="O14" t="s">
        <v>96</v>
      </c>
      <c r="P14" t="s">
        <v>96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2</v>
      </c>
      <c r="AT14">
        <v>0.13</v>
      </c>
      <c r="AU14" t="s">
        <v>16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 t="e">
        <f>Y14*#REF!</f>
        <v>#REF!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 t="e">
        <f>ROW(#REF!)</f>
        <v>#REF!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100</v>
      </c>
      <c r="J15" t="s">
        <v>101</v>
      </c>
      <c r="K15" t="s">
        <v>102</v>
      </c>
      <c r="L15">
        <v>1348</v>
      </c>
      <c r="N15">
        <v>1009</v>
      </c>
      <c r="O15" t="s">
        <v>69</v>
      </c>
      <c r="P15" t="s">
        <v>69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2</v>
      </c>
      <c r="AT15">
        <v>1.2999999999999999E-3</v>
      </c>
      <c r="AU15" t="s">
        <v>15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 t="e">
        <f>Y15*#REF!</f>
        <v>#REF!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 t="e">
        <f>ROW(#REF!)</f>
        <v>#REF!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103</v>
      </c>
      <c r="J16" t="s">
        <v>104</v>
      </c>
      <c r="K16" t="s">
        <v>105</v>
      </c>
      <c r="L16">
        <v>1348</v>
      </c>
      <c r="N16">
        <v>1009</v>
      </c>
      <c r="O16" t="s">
        <v>69</v>
      </c>
      <c r="P16" t="s">
        <v>69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2</v>
      </c>
      <c r="AT16">
        <v>0.36</v>
      </c>
      <c r="AU16" t="s">
        <v>15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 t="e">
        <f>Y16*#REF!</f>
        <v>#REF!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 t="e">
        <f>ROW(#REF!)</f>
        <v>#REF!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86</v>
      </c>
      <c r="J17" t="s">
        <v>2</v>
      </c>
      <c r="K17" t="s">
        <v>87</v>
      </c>
      <c r="L17">
        <v>1191</v>
      </c>
      <c r="N17">
        <v>1013</v>
      </c>
      <c r="O17" t="s">
        <v>88</v>
      </c>
      <c r="P17" t="s">
        <v>88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2</v>
      </c>
      <c r="AT17">
        <v>29.52</v>
      </c>
      <c r="AU17" t="s">
        <v>2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 t="e">
        <f>Y17*#REF!</f>
        <v>#REF!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 t="e">
        <f>ROW(#REF!)</f>
        <v>#REF!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86</v>
      </c>
      <c r="J18" t="s">
        <v>2</v>
      </c>
      <c r="K18" t="s">
        <v>87</v>
      </c>
      <c r="L18">
        <v>1191</v>
      </c>
      <c r="N18">
        <v>1013</v>
      </c>
      <c r="O18" t="s">
        <v>88</v>
      </c>
      <c r="P18" t="s">
        <v>88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2</v>
      </c>
      <c r="AT18">
        <v>29.52</v>
      </c>
      <c r="AU18" t="s">
        <v>2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 t="e">
        <f>Y18*#REF!</f>
        <v>#REF!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 t="e">
        <f>ROW(#REF!)</f>
        <v>#REF!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86</v>
      </c>
      <c r="J19" t="s">
        <v>2</v>
      </c>
      <c r="K19" t="s">
        <v>87</v>
      </c>
      <c r="L19">
        <v>1191</v>
      </c>
      <c r="N19">
        <v>1013</v>
      </c>
      <c r="O19" t="s">
        <v>88</v>
      </c>
      <c r="P19" t="s">
        <v>88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2</v>
      </c>
      <c r="AT19">
        <v>22.82</v>
      </c>
      <c r="AU19" t="s">
        <v>14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 t="e">
        <f>Y19*#REF!</f>
        <v>#REF!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 t="e">
        <f>ROW(#REF!)</f>
        <v>#REF!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86</v>
      </c>
      <c r="J20" t="s">
        <v>2</v>
      </c>
      <c r="K20" t="s">
        <v>87</v>
      </c>
      <c r="L20">
        <v>1191</v>
      </c>
      <c r="N20">
        <v>1013</v>
      </c>
      <c r="O20" t="s">
        <v>88</v>
      </c>
      <c r="P20" t="s">
        <v>88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2</v>
      </c>
      <c r="AT20">
        <v>22.82</v>
      </c>
      <c r="AU20" t="s">
        <v>14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 t="e">
        <f>Y20*#REF!</f>
        <v>#REF!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 t="e">
        <f>ROW(#REF!)</f>
        <v>#REF!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89</v>
      </c>
      <c r="J21" t="s">
        <v>2</v>
      </c>
      <c r="K21" t="s">
        <v>90</v>
      </c>
      <c r="L21">
        <v>1191</v>
      </c>
      <c r="N21">
        <v>1013</v>
      </c>
      <c r="O21" t="s">
        <v>88</v>
      </c>
      <c r="P21" t="s">
        <v>88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2</v>
      </c>
      <c r="AT21">
        <v>24.98</v>
      </c>
      <c r="AU21" t="s">
        <v>16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 t="e">
        <f>Y21*#REF!</f>
        <v>#REF!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 t="e">
        <f>ROW(#REF!)</f>
        <v>#REF!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91</v>
      </c>
      <c r="J22" t="s">
        <v>2</v>
      </c>
      <c r="K22" t="s">
        <v>92</v>
      </c>
      <c r="L22">
        <v>1191</v>
      </c>
      <c r="N22">
        <v>1013</v>
      </c>
      <c r="O22" t="s">
        <v>88</v>
      </c>
      <c r="P22" t="s">
        <v>88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2</v>
      </c>
      <c r="AT22">
        <v>0.21</v>
      </c>
      <c r="AU22" t="s">
        <v>2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 t="e">
        <f>Y22*#REF!</f>
        <v>#REF!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 t="e">
        <f>ROW(#REF!)</f>
        <v>#REF!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93</v>
      </c>
      <c r="J23" t="s">
        <v>94</v>
      </c>
      <c r="K23" t="s">
        <v>95</v>
      </c>
      <c r="L23">
        <v>1368</v>
      </c>
      <c r="N23">
        <v>1011</v>
      </c>
      <c r="O23" t="s">
        <v>96</v>
      </c>
      <c r="P23" t="s">
        <v>96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2</v>
      </c>
      <c r="AT23">
        <v>0.08</v>
      </c>
      <c r="AU23" t="s">
        <v>16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 t="e">
        <f>Y23*#REF!</f>
        <v>#REF!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 t="e">
        <f>ROW(#REF!)</f>
        <v>#REF!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97</v>
      </c>
      <c r="J24" t="s">
        <v>98</v>
      </c>
      <c r="K24" t="s">
        <v>99</v>
      </c>
      <c r="L24">
        <v>1368</v>
      </c>
      <c r="N24">
        <v>1011</v>
      </c>
      <c r="O24" t="s">
        <v>96</v>
      </c>
      <c r="P24" t="s">
        <v>96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2</v>
      </c>
      <c r="AT24">
        <v>0.13</v>
      </c>
      <c r="AU24" t="s">
        <v>16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 t="e">
        <f>Y24*#REF!</f>
        <v>#REF!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 t="e">
        <f>ROW(#REF!)</f>
        <v>#REF!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100</v>
      </c>
      <c r="J25" t="s">
        <v>101</v>
      </c>
      <c r="K25" t="s">
        <v>102</v>
      </c>
      <c r="L25">
        <v>1348</v>
      </c>
      <c r="N25">
        <v>1009</v>
      </c>
      <c r="O25" t="s">
        <v>69</v>
      </c>
      <c r="P25" t="s">
        <v>69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2</v>
      </c>
      <c r="AT25">
        <v>1.2999999999999999E-3</v>
      </c>
      <c r="AU25" t="s">
        <v>15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 t="e">
        <f>Y25*#REF!</f>
        <v>#REF!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 t="e">
        <f>ROW(#REF!)</f>
        <v>#REF!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103</v>
      </c>
      <c r="J26" t="s">
        <v>104</v>
      </c>
      <c r="K26" t="s">
        <v>105</v>
      </c>
      <c r="L26">
        <v>1348</v>
      </c>
      <c r="N26">
        <v>1009</v>
      </c>
      <c r="O26" t="s">
        <v>69</v>
      </c>
      <c r="P26" t="s">
        <v>69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2</v>
      </c>
      <c r="AT26">
        <v>0.36</v>
      </c>
      <c r="AU26" t="s">
        <v>15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 t="e">
        <f>Y26*#REF!</f>
        <v>#REF!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 t="e">
        <f>ROW(#REF!)</f>
        <v>#REF!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89</v>
      </c>
      <c r="J27" t="s">
        <v>2</v>
      </c>
      <c r="K27" t="s">
        <v>90</v>
      </c>
      <c r="L27">
        <v>1191</v>
      </c>
      <c r="N27">
        <v>1013</v>
      </c>
      <c r="O27" t="s">
        <v>88</v>
      </c>
      <c r="P27" t="s">
        <v>88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2</v>
      </c>
      <c r="AT27">
        <v>24.98</v>
      </c>
      <c r="AU27" t="s">
        <v>16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 t="e">
        <f>Y27*#REF!</f>
        <v>#REF!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 t="e">
        <f>ROW(#REF!)</f>
        <v>#REF!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91</v>
      </c>
      <c r="J28" t="s">
        <v>2</v>
      </c>
      <c r="K28" t="s">
        <v>92</v>
      </c>
      <c r="L28">
        <v>1191</v>
      </c>
      <c r="N28">
        <v>1013</v>
      </c>
      <c r="O28" t="s">
        <v>88</v>
      </c>
      <c r="P28" t="s">
        <v>88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2</v>
      </c>
      <c r="AT28">
        <v>0.21</v>
      </c>
      <c r="AU28" t="s">
        <v>2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 t="e">
        <f>Y28*#REF!</f>
        <v>#REF!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 t="e">
        <f>ROW(#REF!)</f>
        <v>#REF!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93</v>
      </c>
      <c r="J29" t="s">
        <v>94</v>
      </c>
      <c r="K29" t="s">
        <v>95</v>
      </c>
      <c r="L29">
        <v>1368</v>
      </c>
      <c r="N29">
        <v>1011</v>
      </c>
      <c r="O29" t="s">
        <v>96</v>
      </c>
      <c r="P29" t="s">
        <v>96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2</v>
      </c>
      <c r="AT29">
        <v>0.08</v>
      </c>
      <c r="AU29" t="s">
        <v>16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 t="e">
        <f>Y29*#REF!</f>
        <v>#REF!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 t="e">
        <f>ROW(#REF!)</f>
        <v>#REF!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97</v>
      </c>
      <c r="J30" t="s">
        <v>98</v>
      </c>
      <c r="K30" t="s">
        <v>99</v>
      </c>
      <c r="L30">
        <v>1368</v>
      </c>
      <c r="N30">
        <v>1011</v>
      </c>
      <c r="O30" t="s">
        <v>96</v>
      </c>
      <c r="P30" t="s">
        <v>96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2</v>
      </c>
      <c r="AT30">
        <v>0.13</v>
      </c>
      <c r="AU30" t="s">
        <v>16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 t="e">
        <f>Y30*#REF!</f>
        <v>#REF!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 t="e">
        <f>ROW(#REF!)</f>
        <v>#REF!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100</v>
      </c>
      <c r="J31" t="s">
        <v>101</v>
      </c>
      <c r="K31" t="s">
        <v>102</v>
      </c>
      <c r="L31">
        <v>1348</v>
      </c>
      <c r="N31">
        <v>1009</v>
      </c>
      <c r="O31" t="s">
        <v>69</v>
      </c>
      <c r="P31" t="s">
        <v>69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2</v>
      </c>
      <c r="AT31">
        <v>1.2999999999999999E-3</v>
      </c>
      <c r="AU31" t="s">
        <v>15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 t="e">
        <f>Y31*#REF!</f>
        <v>#REF!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 t="e">
        <f>ROW(#REF!)</f>
        <v>#REF!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103</v>
      </c>
      <c r="J32" t="s">
        <v>104</v>
      </c>
      <c r="K32" t="s">
        <v>105</v>
      </c>
      <c r="L32">
        <v>1348</v>
      </c>
      <c r="N32">
        <v>1009</v>
      </c>
      <c r="O32" t="s">
        <v>69</v>
      </c>
      <c r="P32" t="s">
        <v>69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2</v>
      </c>
      <c r="AT32">
        <v>0.36</v>
      </c>
      <c r="AU32" t="s">
        <v>15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 t="e">
        <f>Y32*#REF!</f>
        <v>#REF!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 t="e">
        <f>ROW(#REF!)</f>
        <v>#REF!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106</v>
      </c>
      <c r="J33" t="s">
        <v>2</v>
      </c>
      <c r="K33" t="s">
        <v>107</v>
      </c>
      <c r="L33">
        <v>1191</v>
      </c>
      <c r="N33">
        <v>1013</v>
      </c>
      <c r="O33" t="s">
        <v>88</v>
      </c>
      <c r="P33" t="s">
        <v>88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2</v>
      </c>
      <c r="AT33">
        <v>1.03</v>
      </c>
      <c r="AU33" t="s">
        <v>2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 t="e">
        <f>Y33*#REF!</f>
        <v>#REF!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 t="e">
        <f>ROW(#REF!)</f>
        <v>#REF!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108</v>
      </c>
      <c r="J34" t="s">
        <v>109</v>
      </c>
      <c r="K34" t="s">
        <v>110</v>
      </c>
      <c r="L34">
        <v>1355</v>
      </c>
      <c r="N34">
        <v>1010</v>
      </c>
      <c r="O34" t="s">
        <v>111</v>
      </c>
      <c r="P34" t="s">
        <v>111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2</v>
      </c>
      <c r="AT34">
        <v>0.2</v>
      </c>
      <c r="AU34" t="s">
        <v>2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 t="e">
        <f>Y34*#REF!</f>
        <v>#REF!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 t="e">
        <f>ROW(#REF!)</f>
        <v>#REF!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106</v>
      </c>
      <c r="J35" t="s">
        <v>2</v>
      </c>
      <c r="K35" t="s">
        <v>107</v>
      </c>
      <c r="L35">
        <v>1191</v>
      </c>
      <c r="N35">
        <v>1013</v>
      </c>
      <c r="O35" t="s">
        <v>88</v>
      </c>
      <c r="P35" t="s">
        <v>88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2</v>
      </c>
      <c r="AT35">
        <v>1.03</v>
      </c>
      <c r="AU35" t="s">
        <v>2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 t="e">
        <f>Y35*#REF!</f>
        <v>#REF!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 t="e">
        <f>ROW(#REF!)</f>
        <v>#REF!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108</v>
      </c>
      <c r="J36" t="s">
        <v>109</v>
      </c>
      <c r="K36" t="s">
        <v>110</v>
      </c>
      <c r="L36">
        <v>1355</v>
      </c>
      <c r="N36">
        <v>1010</v>
      </c>
      <c r="O36" t="s">
        <v>111</v>
      </c>
      <c r="P36" t="s">
        <v>111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2</v>
      </c>
      <c r="AT36">
        <v>0.2</v>
      </c>
      <c r="AU36" t="s">
        <v>2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 t="e">
        <f>Y36*#REF!</f>
        <v>#REF!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 t="e">
        <f>ROW(#REF!)</f>
        <v>#REF!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86</v>
      </c>
      <c r="J1" t="s">
        <v>2</v>
      </c>
      <c r="K1" t="s">
        <v>87</v>
      </c>
      <c r="L1">
        <v>1191</v>
      </c>
      <c r="N1">
        <v>1013</v>
      </c>
      <c r="O1" t="s">
        <v>88</v>
      </c>
      <c r="P1" t="s">
        <v>88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2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 t="e">
        <f>ROW(#REF!)</f>
        <v>#REF!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86</v>
      </c>
      <c r="J2" t="s">
        <v>2</v>
      </c>
      <c r="K2" t="s">
        <v>87</v>
      </c>
      <c r="L2">
        <v>1191</v>
      </c>
      <c r="N2">
        <v>1013</v>
      </c>
      <c r="O2" t="s">
        <v>88</v>
      </c>
      <c r="P2" t="s">
        <v>88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2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 t="e">
        <f>ROW(#REF!)</f>
        <v>#REF!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86</v>
      </c>
      <c r="J3" t="s">
        <v>2</v>
      </c>
      <c r="K3" t="s">
        <v>87</v>
      </c>
      <c r="L3">
        <v>1191</v>
      </c>
      <c r="N3">
        <v>1013</v>
      </c>
      <c r="O3" t="s">
        <v>88</v>
      </c>
      <c r="P3" t="s">
        <v>88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14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 t="e">
        <f>ROW(#REF!)</f>
        <v>#REF!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86</v>
      </c>
      <c r="J4" t="s">
        <v>2</v>
      </c>
      <c r="K4" t="s">
        <v>87</v>
      </c>
      <c r="L4">
        <v>1191</v>
      </c>
      <c r="N4">
        <v>1013</v>
      </c>
      <c r="O4" t="s">
        <v>88</v>
      </c>
      <c r="P4" t="s">
        <v>88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14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 t="e">
        <f>ROW(#REF!)</f>
        <v>#REF!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89</v>
      </c>
      <c r="J5" t="s">
        <v>2</v>
      </c>
      <c r="K5" t="s">
        <v>90</v>
      </c>
      <c r="L5">
        <v>1191</v>
      </c>
      <c r="N5">
        <v>1013</v>
      </c>
      <c r="O5" t="s">
        <v>88</v>
      </c>
      <c r="P5" t="s">
        <v>88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16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 t="e">
        <f>ROW(#REF!)</f>
        <v>#REF!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91</v>
      </c>
      <c r="J6" t="s">
        <v>2</v>
      </c>
      <c r="K6" t="s">
        <v>92</v>
      </c>
      <c r="L6">
        <v>1191</v>
      </c>
      <c r="N6">
        <v>1013</v>
      </c>
      <c r="O6" t="s">
        <v>88</v>
      </c>
      <c r="P6" t="s">
        <v>88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16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 t="e">
        <f>ROW(#REF!)</f>
        <v>#REF!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93</v>
      </c>
      <c r="J7" t="s">
        <v>94</v>
      </c>
      <c r="K7" t="s">
        <v>95</v>
      </c>
      <c r="L7">
        <v>1368</v>
      </c>
      <c r="N7">
        <v>1011</v>
      </c>
      <c r="O7" t="s">
        <v>96</v>
      </c>
      <c r="P7" t="s">
        <v>96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16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 t="e">
        <f>ROW(#REF!)</f>
        <v>#REF!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97</v>
      </c>
      <c r="J8" t="s">
        <v>98</v>
      </c>
      <c r="K8" t="s">
        <v>99</v>
      </c>
      <c r="L8">
        <v>1368</v>
      </c>
      <c r="N8">
        <v>1011</v>
      </c>
      <c r="O8" t="s">
        <v>96</v>
      </c>
      <c r="P8" t="s">
        <v>96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16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 t="e">
        <f>ROW(#REF!)</f>
        <v>#REF!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100</v>
      </c>
      <c r="J9" t="s">
        <v>101</v>
      </c>
      <c r="K9" t="s">
        <v>102</v>
      </c>
      <c r="L9">
        <v>1348</v>
      </c>
      <c r="N9">
        <v>1009</v>
      </c>
      <c r="O9" t="s">
        <v>69</v>
      </c>
      <c r="P9" t="s">
        <v>69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15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 t="e">
        <f>ROW(#REF!)</f>
        <v>#REF!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103</v>
      </c>
      <c r="J10" t="s">
        <v>104</v>
      </c>
      <c r="K10" t="s">
        <v>105</v>
      </c>
      <c r="L10">
        <v>1348</v>
      </c>
      <c r="N10">
        <v>1009</v>
      </c>
      <c r="O10" t="s">
        <v>69</v>
      </c>
      <c r="P10" t="s">
        <v>69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15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 t="e">
        <f>ROW(#REF!)</f>
        <v>#REF!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89</v>
      </c>
      <c r="J11" t="s">
        <v>2</v>
      </c>
      <c r="K11" t="s">
        <v>90</v>
      </c>
      <c r="L11">
        <v>1191</v>
      </c>
      <c r="N11">
        <v>1013</v>
      </c>
      <c r="O11" t="s">
        <v>88</v>
      </c>
      <c r="P11" t="s">
        <v>88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16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 t="e">
        <f>ROW(#REF!)</f>
        <v>#REF!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91</v>
      </c>
      <c r="J12" t="s">
        <v>2</v>
      </c>
      <c r="K12" t="s">
        <v>92</v>
      </c>
      <c r="L12">
        <v>1191</v>
      </c>
      <c r="N12">
        <v>1013</v>
      </c>
      <c r="O12" t="s">
        <v>88</v>
      </c>
      <c r="P12" t="s">
        <v>88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16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 t="e">
        <f>ROW(#REF!)</f>
        <v>#REF!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93</v>
      </c>
      <c r="J13" t="s">
        <v>94</v>
      </c>
      <c r="K13" t="s">
        <v>95</v>
      </c>
      <c r="L13">
        <v>1368</v>
      </c>
      <c r="N13">
        <v>1011</v>
      </c>
      <c r="O13" t="s">
        <v>96</v>
      </c>
      <c r="P13" t="s">
        <v>96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16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 t="e">
        <f>ROW(#REF!)</f>
        <v>#REF!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97</v>
      </c>
      <c r="J14" t="s">
        <v>98</v>
      </c>
      <c r="K14" t="s">
        <v>99</v>
      </c>
      <c r="L14">
        <v>1368</v>
      </c>
      <c r="N14">
        <v>1011</v>
      </c>
      <c r="O14" t="s">
        <v>96</v>
      </c>
      <c r="P14" t="s">
        <v>96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16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 t="e">
        <f>ROW(#REF!)</f>
        <v>#REF!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100</v>
      </c>
      <c r="J15" t="s">
        <v>101</v>
      </c>
      <c r="K15" t="s">
        <v>102</v>
      </c>
      <c r="L15">
        <v>1348</v>
      </c>
      <c r="N15">
        <v>1009</v>
      </c>
      <c r="O15" t="s">
        <v>69</v>
      </c>
      <c r="P15" t="s">
        <v>69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15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 t="e">
        <f>ROW(#REF!)</f>
        <v>#REF!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103</v>
      </c>
      <c r="J16" t="s">
        <v>104</v>
      </c>
      <c r="K16" t="s">
        <v>105</v>
      </c>
      <c r="L16">
        <v>1348</v>
      </c>
      <c r="N16">
        <v>1009</v>
      </c>
      <c r="O16" t="s">
        <v>69</v>
      </c>
      <c r="P16" t="s">
        <v>69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15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 t="e">
        <f>ROW(#REF!)</f>
        <v>#REF!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86</v>
      </c>
      <c r="J17" t="s">
        <v>2</v>
      </c>
      <c r="K17" t="s">
        <v>87</v>
      </c>
      <c r="L17">
        <v>1191</v>
      </c>
      <c r="N17">
        <v>1013</v>
      </c>
      <c r="O17" t="s">
        <v>88</v>
      </c>
      <c r="P17" t="s">
        <v>88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2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 t="e">
        <f>ROW(#REF!)</f>
        <v>#REF!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86</v>
      </c>
      <c r="J18" t="s">
        <v>2</v>
      </c>
      <c r="K18" t="s">
        <v>87</v>
      </c>
      <c r="L18">
        <v>1191</v>
      </c>
      <c r="N18">
        <v>1013</v>
      </c>
      <c r="O18" t="s">
        <v>88</v>
      </c>
      <c r="P18" t="s">
        <v>88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2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 t="e">
        <f>ROW(#REF!)</f>
        <v>#REF!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86</v>
      </c>
      <c r="J19" t="s">
        <v>2</v>
      </c>
      <c r="K19" t="s">
        <v>87</v>
      </c>
      <c r="L19">
        <v>1191</v>
      </c>
      <c r="N19">
        <v>1013</v>
      </c>
      <c r="O19" t="s">
        <v>88</v>
      </c>
      <c r="P19" t="s">
        <v>88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14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 t="e">
        <f>ROW(#REF!)</f>
        <v>#REF!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86</v>
      </c>
      <c r="J20" t="s">
        <v>2</v>
      </c>
      <c r="K20" t="s">
        <v>87</v>
      </c>
      <c r="L20">
        <v>1191</v>
      </c>
      <c r="N20">
        <v>1013</v>
      </c>
      <c r="O20" t="s">
        <v>88</v>
      </c>
      <c r="P20" t="s">
        <v>88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14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 t="e">
        <f>ROW(#REF!)</f>
        <v>#REF!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89</v>
      </c>
      <c r="J21" t="s">
        <v>2</v>
      </c>
      <c r="K21" t="s">
        <v>90</v>
      </c>
      <c r="L21">
        <v>1191</v>
      </c>
      <c r="N21">
        <v>1013</v>
      </c>
      <c r="O21" t="s">
        <v>88</v>
      </c>
      <c r="P21" t="s">
        <v>88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16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 t="e">
        <f>ROW(#REF!)</f>
        <v>#REF!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91</v>
      </c>
      <c r="J22" t="s">
        <v>2</v>
      </c>
      <c r="K22" t="s">
        <v>92</v>
      </c>
      <c r="L22">
        <v>1191</v>
      </c>
      <c r="N22">
        <v>1013</v>
      </c>
      <c r="O22" t="s">
        <v>88</v>
      </c>
      <c r="P22" t="s">
        <v>88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16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 t="e">
        <f>ROW(#REF!)</f>
        <v>#REF!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93</v>
      </c>
      <c r="J23" t="s">
        <v>94</v>
      </c>
      <c r="K23" t="s">
        <v>95</v>
      </c>
      <c r="L23">
        <v>1368</v>
      </c>
      <c r="N23">
        <v>1011</v>
      </c>
      <c r="O23" t="s">
        <v>96</v>
      </c>
      <c r="P23" t="s">
        <v>96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16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 t="e">
        <f>ROW(#REF!)</f>
        <v>#REF!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97</v>
      </c>
      <c r="J24" t="s">
        <v>98</v>
      </c>
      <c r="K24" t="s">
        <v>99</v>
      </c>
      <c r="L24">
        <v>1368</v>
      </c>
      <c r="N24">
        <v>1011</v>
      </c>
      <c r="O24" t="s">
        <v>96</v>
      </c>
      <c r="P24" t="s">
        <v>96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16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 t="e">
        <f>ROW(#REF!)</f>
        <v>#REF!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100</v>
      </c>
      <c r="J25" t="s">
        <v>101</v>
      </c>
      <c r="K25" t="s">
        <v>102</v>
      </c>
      <c r="L25">
        <v>1348</v>
      </c>
      <c r="N25">
        <v>1009</v>
      </c>
      <c r="O25" t="s">
        <v>69</v>
      </c>
      <c r="P25" t="s">
        <v>69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15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 t="e">
        <f>ROW(#REF!)</f>
        <v>#REF!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103</v>
      </c>
      <c r="J26" t="s">
        <v>104</v>
      </c>
      <c r="K26" t="s">
        <v>105</v>
      </c>
      <c r="L26">
        <v>1348</v>
      </c>
      <c r="N26">
        <v>1009</v>
      </c>
      <c r="O26" t="s">
        <v>69</v>
      </c>
      <c r="P26" t="s">
        <v>69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15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 t="e">
        <f>ROW(#REF!)</f>
        <v>#REF!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89</v>
      </c>
      <c r="J27" t="s">
        <v>2</v>
      </c>
      <c r="K27" t="s">
        <v>90</v>
      </c>
      <c r="L27">
        <v>1191</v>
      </c>
      <c r="N27">
        <v>1013</v>
      </c>
      <c r="O27" t="s">
        <v>88</v>
      </c>
      <c r="P27" t="s">
        <v>88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16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 t="e">
        <f>ROW(#REF!)</f>
        <v>#REF!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91</v>
      </c>
      <c r="J28" t="s">
        <v>2</v>
      </c>
      <c r="K28" t="s">
        <v>92</v>
      </c>
      <c r="L28">
        <v>1191</v>
      </c>
      <c r="N28">
        <v>1013</v>
      </c>
      <c r="O28" t="s">
        <v>88</v>
      </c>
      <c r="P28" t="s">
        <v>88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16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 t="e">
        <f>ROW(#REF!)</f>
        <v>#REF!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93</v>
      </c>
      <c r="J29" t="s">
        <v>94</v>
      </c>
      <c r="K29" t="s">
        <v>95</v>
      </c>
      <c r="L29">
        <v>1368</v>
      </c>
      <c r="N29">
        <v>1011</v>
      </c>
      <c r="O29" t="s">
        <v>96</v>
      </c>
      <c r="P29" t="s">
        <v>96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16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 t="e">
        <f>ROW(#REF!)</f>
        <v>#REF!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97</v>
      </c>
      <c r="J30" t="s">
        <v>98</v>
      </c>
      <c r="K30" t="s">
        <v>99</v>
      </c>
      <c r="L30">
        <v>1368</v>
      </c>
      <c r="N30">
        <v>1011</v>
      </c>
      <c r="O30" t="s">
        <v>96</v>
      </c>
      <c r="P30" t="s">
        <v>96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16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 t="e">
        <f>ROW(#REF!)</f>
        <v>#REF!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100</v>
      </c>
      <c r="J31" t="s">
        <v>101</v>
      </c>
      <c r="K31" t="s">
        <v>102</v>
      </c>
      <c r="L31">
        <v>1348</v>
      </c>
      <c r="N31">
        <v>1009</v>
      </c>
      <c r="O31" t="s">
        <v>69</v>
      </c>
      <c r="P31" t="s">
        <v>69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15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 t="e">
        <f>ROW(#REF!)</f>
        <v>#REF!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103</v>
      </c>
      <c r="J32" t="s">
        <v>104</v>
      </c>
      <c r="K32" t="s">
        <v>105</v>
      </c>
      <c r="L32">
        <v>1348</v>
      </c>
      <c r="N32">
        <v>1009</v>
      </c>
      <c r="O32" t="s">
        <v>69</v>
      </c>
      <c r="P32" t="s">
        <v>69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15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 t="e">
        <f>ROW(#REF!)</f>
        <v>#REF!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106</v>
      </c>
      <c r="J33" t="s">
        <v>2</v>
      </c>
      <c r="K33" t="s">
        <v>107</v>
      </c>
      <c r="L33">
        <v>1191</v>
      </c>
      <c r="N33">
        <v>1013</v>
      </c>
      <c r="O33" t="s">
        <v>88</v>
      </c>
      <c r="P33" t="s">
        <v>88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2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 t="e">
        <f>ROW(#REF!)</f>
        <v>#REF!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108</v>
      </c>
      <c r="J34" t="s">
        <v>109</v>
      </c>
      <c r="K34" t="s">
        <v>110</v>
      </c>
      <c r="L34">
        <v>1355</v>
      </c>
      <c r="N34">
        <v>1010</v>
      </c>
      <c r="O34" t="s">
        <v>111</v>
      </c>
      <c r="P34" t="s">
        <v>111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2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 t="e">
        <f>ROW(#REF!)</f>
        <v>#REF!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106</v>
      </c>
      <c r="J35" t="s">
        <v>2</v>
      </c>
      <c r="K35" t="s">
        <v>107</v>
      </c>
      <c r="L35">
        <v>1191</v>
      </c>
      <c r="N35">
        <v>1013</v>
      </c>
      <c r="O35" t="s">
        <v>88</v>
      </c>
      <c r="P35" t="s">
        <v>88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2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 t="e">
        <f>ROW(#REF!)</f>
        <v>#REF!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108</v>
      </c>
      <c r="J36" t="s">
        <v>109</v>
      </c>
      <c r="K36" t="s">
        <v>110</v>
      </c>
      <c r="L36">
        <v>1355</v>
      </c>
      <c r="N36">
        <v>1010</v>
      </c>
      <c r="O36" t="s">
        <v>111</v>
      </c>
      <c r="P36" t="s">
        <v>111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2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Описание</vt:lpstr>
      <vt:lpstr>Список бюджетов</vt:lpstr>
      <vt:lpstr>КП-5</vt:lpstr>
      <vt:lpstr>ДМЦ</vt:lpstr>
      <vt:lpstr>default</vt:lpstr>
      <vt:lpstr>RV_DATA</vt:lpstr>
      <vt:lpstr>SourceObSm</vt:lpstr>
      <vt:lpstr>SmtRes</vt:lpstr>
      <vt:lpstr>EtalonRes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2021-03-16T00:16:41Z</dcterms:modified>
</cp:coreProperties>
</file>